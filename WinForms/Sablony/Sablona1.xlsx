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ůj disk\Projekty\SemiProvoz\Podklady\SeznamMichal\"/>
    </mc:Choice>
  </mc:AlternateContent>
  <xr:revisionPtr revIDLastSave="0" documentId="13_ncr:1_{FC9278C0-BAB5-4438-81BF-8A6C59EC9A52}" xr6:coauthVersionLast="47" xr6:coauthVersionMax="47" xr10:uidLastSave="{00000000-0000-0000-0000-000000000000}"/>
  <bookViews>
    <workbookView xWindow="1992" yWindow="912" windowWidth="23844" windowHeight="14508" xr2:uid="{0D01C8FF-7B4C-4A74-8506-C704AE225E31}"/>
  </bookViews>
  <sheets>
    <sheet name="Titulni List" sheetId="3" r:id="rId1"/>
    <sheet name="Seznam" sheetId="1" r:id="rId2"/>
    <sheet name="SICHR" sheetId="2" r:id="rId3"/>
  </sheets>
  <definedNames>
    <definedName name="_xlnm._FilterDatabase" localSheetId="1" hidden="1">Seznam!$A$2:$P$137</definedName>
    <definedName name="CDOK1" localSheetId="0">'Titulni List'!$D$9</definedName>
    <definedName name="CDOK2" localSheetId="0">'Titulni List'!$E$9</definedName>
    <definedName name="_xlnm.Print_Area" localSheetId="1">Seznam!$A$1:$K$140</definedName>
    <definedName name="_xlnm.Print_Area" localSheetId="0">'Titulni List'!$A$1:$I$62</definedName>
    <definedName name="REV" localSheetId="0">'Titulni List'!$F$9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3" l="1"/>
  <c r="H10" i="3"/>
  <c r="C11" i="3"/>
  <c r="H15" i="3"/>
  <c r="D53" i="3"/>
  <c r="D54" i="3"/>
  <c r="D55" i="3"/>
  <c r="D56" i="3"/>
  <c r="D57" i="3"/>
  <c r="H193" i="1" l="1"/>
  <c r="G184" i="1" a="1"/>
  <c r="G184" i="1" s="1"/>
  <c r="I184" i="1" a="1"/>
  <c r="I184" i="1" s="1"/>
  <c r="D164" i="1" a="1"/>
  <c r="D164" i="1" s="1"/>
  <c r="F136" i="1" l="1"/>
  <c r="F133" i="1"/>
  <c r="F134" i="1"/>
  <c r="F106" i="1"/>
  <c r="F141" i="1" l="1"/>
  <c r="D143" i="1" a="1"/>
  <c r="I154" i="1" s="1"/>
  <c r="G155" i="1" l="1"/>
  <c r="G157" i="1"/>
  <c r="I153" i="1"/>
  <c r="I152" i="1"/>
  <c r="I146" i="1"/>
  <c r="I145" i="1"/>
  <c r="G153" i="1"/>
  <c r="I144" i="1"/>
  <c r="I148" i="1"/>
  <c r="G150" i="1"/>
  <c r="G147" i="1"/>
  <c r="I147" i="1"/>
  <c r="I151" i="1"/>
  <c r="I150" i="1"/>
  <c r="G154" i="1"/>
  <c r="I149" i="1"/>
  <c r="G152" i="1"/>
  <c r="I159" i="1"/>
  <c r="G151" i="1"/>
  <c r="G145" i="1"/>
  <c r="G144" i="1"/>
  <c r="G149" i="1"/>
  <c r="I143" i="1"/>
  <c r="G148" i="1"/>
  <c r="I158" i="1"/>
  <c r="I156" i="1"/>
  <c r="G146" i="1"/>
  <c r="G159" i="1"/>
  <c r="D143" i="1"/>
  <c r="G143" i="1" s="1"/>
  <c r="G156" i="1"/>
  <c r="I157" i="1"/>
  <c r="I155" i="1"/>
  <c r="G15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<sst xmlns="http://schemas.openxmlformats.org/spreadsheetml/2006/main" count="918" uniqueCount="370">
  <si>
    <t>Rev.</t>
  </si>
  <si>
    <t>Původní</t>
  </si>
  <si>
    <t>Číslo kabelu</t>
  </si>
  <si>
    <t xml:space="preserve">Kabel typ </t>
  </si>
  <si>
    <t>Průřez / Size</t>
  </si>
  <si>
    <t>Délka/Lengh</t>
  </si>
  <si>
    <t xml:space="preserve">Ze zařízení </t>
  </si>
  <si>
    <t xml:space="preserve">Ukončení </t>
  </si>
  <si>
    <t xml:space="preserve">Do zařízení </t>
  </si>
  <si>
    <t xml:space="preserve">Poznamka </t>
  </si>
  <si>
    <t>No.</t>
  </si>
  <si>
    <t>označení kabelu</t>
  </si>
  <si>
    <t>Cable No.</t>
  </si>
  <si>
    <t>Cabel type</t>
  </si>
  <si>
    <t>(mm2)</t>
  </si>
  <si>
    <t>(m)</t>
  </si>
  <si>
    <t>From</t>
  </si>
  <si>
    <t>Gland</t>
  </si>
  <si>
    <t>To</t>
  </si>
  <si>
    <t>Remark</t>
  </si>
  <si>
    <t>E1-WL1</t>
  </si>
  <si>
    <t>M</t>
  </si>
  <si>
    <t>E2-WL1</t>
  </si>
  <si>
    <t>E5-WL1</t>
  </si>
  <si>
    <t>E6-WL1</t>
  </si>
  <si>
    <t>ODSTŘEDIVKA</t>
  </si>
  <si>
    <t>H07RN-F</t>
  </si>
  <si>
    <t>SZ</t>
  </si>
  <si>
    <t>+UC1</t>
  </si>
  <si>
    <t>Přívod In = 257A, poj 2x 125A</t>
  </si>
  <si>
    <t>1x95</t>
  </si>
  <si>
    <t>MET</t>
  </si>
  <si>
    <t>SERVO 2YSLYCYK-JB</t>
  </si>
  <si>
    <t>3x95+3G16</t>
  </si>
  <si>
    <t>F-CY-OZ</t>
  </si>
  <si>
    <t>2x1,5</t>
  </si>
  <si>
    <t>PTC</t>
  </si>
  <si>
    <t>JZ-600-Y-CY</t>
  </si>
  <si>
    <t>3G16</t>
  </si>
  <si>
    <t>-RA1</t>
  </si>
  <si>
    <t>-RA1 - PTC</t>
  </si>
  <si>
    <t>OZ-500</t>
  </si>
  <si>
    <t>4x0,75</t>
  </si>
  <si>
    <t>+UC1-TAC1</t>
  </si>
  <si>
    <t>+UC1-KEC5</t>
  </si>
  <si>
    <t>+C / EU135-MA1</t>
  </si>
  <si>
    <t>4G1,5</t>
  </si>
  <si>
    <t>JZ-500</t>
  </si>
  <si>
    <t>+H / EU701-MA4</t>
  </si>
  <si>
    <t>+UC1-QA8</t>
  </si>
  <si>
    <t>+HC / M001-MA5</t>
  </si>
  <si>
    <t>STRANA</t>
  </si>
  <si>
    <t>+UC1-X4:1</t>
  </si>
  <si>
    <t>+OIL / EU???-MA5</t>
  </si>
  <si>
    <t>Dryer agitator</t>
  </si>
  <si>
    <t>+UC1-TAC3</t>
  </si>
  <si>
    <t>ŽLUTÉ CHYBÍ!</t>
  </si>
  <si>
    <t>+D / M001-MA4</t>
  </si>
  <si>
    <t>H07V-K / GNYE</t>
  </si>
  <si>
    <t>1x25</t>
  </si>
  <si>
    <t>+D</t>
  </si>
  <si>
    <t>+UC1-KEC7</t>
  </si>
  <si>
    <t>+UC1-TAC2</t>
  </si>
  <si>
    <t>+C / EU138-MA3</t>
  </si>
  <si>
    <t>Screw drive</t>
  </si>
  <si>
    <t>Centrifuge</t>
  </si>
  <si>
    <t>Hydraulic unit centrifuge</t>
  </si>
  <si>
    <t>Oil lubrication unit</t>
  </si>
  <si>
    <t>Heat/cooling unit
Fluid circulation pump</t>
  </si>
  <si>
    <t>R407-WL1</t>
  </si>
  <si>
    <t>R407-WS1</t>
  </si>
  <si>
    <t>R407-WS2</t>
  </si>
  <si>
    <t>RM1N</t>
  </si>
  <si>
    <t>R407-M</t>
  </si>
  <si>
    <t>R407-MS</t>
  </si>
  <si>
    <t>R407-PTC</t>
  </si>
  <si>
    <t>7,5+VSD</t>
  </si>
  <si>
    <t>P502-WL1</t>
  </si>
  <si>
    <t>P502-M</t>
  </si>
  <si>
    <t>P502-WS1</t>
  </si>
  <si>
    <t>P502-MS</t>
  </si>
  <si>
    <t>P502-WS2</t>
  </si>
  <si>
    <t>P502-PTC</t>
  </si>
  <si>
    <t>2,5+VSD</t>
  </si>
  <si>
    <t>P511-WL1</t>
  </si>
  <si>
    <t>P511-M</t>
  </si>
  <si>
    <t>P511-WS1</t>
  </si>
  <si>
    <t>P511-MS</t>
  </si>
  <si>
    <t>P511-WS2</t>
  </si>
  <si>
    <t>P511-PTC</t>
  </si>
  <si>
    <t>O401-W0.1</t>
  </si>
  <si>
    <t>O401-W0.2</t>
  </si>
  <si>
    <t>O401-WE_UC1</t>
  </si>
  <si>
    <t>O401-W1.1</t>
  </si>
  <si>
    <t>O401-W1.2</t>
  </si>
  <si>
    <t>O401-W1.3</t>
  </si>
  <si>
    <t>O401-W1.4</t>
  </si>
  <si>
    <t>O401-W1.11</t>
  </si>
  <si>
    <t>O401-W2.1</t>
  </si>
  <si>
    <t>O401-W2.2</t>
  </si>
  <si>
    <t>O401-W2.11</t>
  </si>
  <si>
    <t>O401-W3</t>
  </si>
  <si>
    <t>O401-W4.1</t>
  </si>
  <si>
    <t>O401-W4.2</t>
  </si>
  <si>
    <t>P498A-WL1</t>
  </si>
  <si>
    <t>P498A-M</t>
  </si>
  <si>
    <t>P498A-WS1</t>
  </si>
  <si>
    <t>P498A-MS</t>
  </si>
  <si>
    <t>P498A-WS2</t>
  </si>
  <si>
    <t>P498A-PTC</t>
  </si>
  <si>
    <t>P498B-WL1</t>
  </si>
  <si>
    <t>P498B-M</t>
  </si>
  <si>
    <t>P498B-WS1</t>
  </si>
  <si>
    <t>P498B-MS</t>
  </si>
  <si>
    <t>P498B-WS2</t>
  </si>
  <si>
    <t>P498B-PTC</t>
  </si>
  <si>
    <t>S401-W4</t>
  </si>
  <si>
    <t>S401-W4.2</t>
  </si>
  <si>
    <t>S401-WE_MA4</t>
  </si>
  <si>
    <t>S401-W5.11</t>
  </si>
  <si>
    <t>N4047-PTC</t>
  </si>
  <si>
    <t>0,75+VSD</t>
  </si>
  <si>
    <t>N406-WL1</t>
  </si>
  <si>
    <t>N406-WS1</t>
  </si>
  <si>
    <t>N406-MS</t>
  </si>
  <si>
    <t>N406-WS2</t>
  </si>
  <si>
    <t>N406-PTC</t>
  </si>
  <si>
    <t>N4043.1</t>
  </si>
  <si>
    <t>N4043.2</t>
  </si>
  <si>
    <t>G419-WL1</t>
  </si>
  <si>
    <t>G419-WS1</t>
  </si>
  <si>
    <t>G419-MS</t>
  </si>
  <si>
    <t>G419-WS2</t>
  </si>
  <si>
    <t>G419-PTC</t>
  </si>
  <si>
    <t>P494-WL1</t>
  </si>
  <si>
    <t>P494-WS1</t>
  </si>
  <si>
    <t>P494-WS2</t>
  </si>
  <si>
    <t>P494-PTC</t>
  </si>
  <si>
    <t>N402-WL1</t>
  </si>
  <si>
    <t>N402-WS1</t>
  </si>
  <si>
    <t>N402-WS2</t>
  </si>
  <si>
    <t>N402-PTC</t>
  </si>
  <si>
    <t>G422-WL1</t>
  </si>
  <si>
    <t>G422-WS1</t>
  </si>
  <si>
    <t>G422-WS2</t>
  </si>
  <si>
    <t>G422-PTC</t>
  </si>
  <si>
    <t>P495-WL1</t>
  </si>
  <si>
    <t>P495-WS1</t>
  </si>
  <si>
    <t>P495-WS2</t>
  </si>
  <si>
    <t>P495-PTC</t>
  </si>
  <si>
    <t>4 - KLADKOSTROJ</t>
  </si>
  <si>
    <t>OTOPY</t>
  </si>
  <si>
    <t>EHT1-WL1</t>
  </si>
  <si>
    <t>EHT2-WL1</t>
  </si>
  <si>
    <t>EHT3-WL1</t>
  </si>
  <si>
    <t>EHT4-WL1</t>
  </si>
  <si>
    <t>EHT5-WL1</t>
  </si>
  <si>
    <t>EHT6-WL1</t>
  </si>
  <si>
    <t>EHT7-WL1</t>
  </si>
  <si>
    <t>EHT8-WL1</t>
  </si>
  <si>
    <t>EHT9-WL1</t>
  </si>
  <si>
    <t>EHT1-WS1</t>
  </si>
  <si>
    <t>TERMOSTAT</t>
  </si>
  <si>
    <t>EHT3-WS1</t>
  </si>
  <si>
    <t>EHT4-WS1</t>
  </si>
  <si>
    <t>EHT5-WS1</t>
  </si>
  <si>
    <t>EHT6-WS1</t>
  </si>
  <si>
    <t>EHT7-WS1</t>
  </si>
  <si>
    <t>EHT8-WS1</t>
  </si>
  <si>
    <t>EHT1-MX1</t>
  </si>
  <si>
    <t>EHT2-MX1</t>
  </si>
  <si>
    <t>EHT3-MX1</t>
  </si>
  <si>
    <t>EHT4-MX1</t>
  </si>
  <si>
    <t>EHT5-MX1</t>
  </si>
  <si>
    <t>EHT6-MX1</t>
  </si>
  <si>
    <t>EHT7-MX1</t>
  </si>
  <si>
    <t>EHT8-MX1</t>
  </si>
  <si>
    <t>EHT9-MX1</t>
  </si>
  <si>
    <t>VZT</t>
  </si>
  <si>
    <t>VZT01-WL1</t>
  </si>
  <si>
    <t>VZT01</t>
  </si>
  <si>
    <t>2,75kW/4,3A // jistič C13A</t>
  </si>
  <si>
    <t>VZT02-WL1</t>
  </si>
  <si>
    <t>VZT02</t>
  </si>
  <si>
    <t>VZT03-WL1</t>
  </si>
  <si>
    <t>VZT03</t>
  </si>
  <si>
    <t>3,05kW/4,7A // jistič C13A</t>
  </si>
  <si>
    <t>VZT04-WL1</t>
  </si>
  <si>
    <t>VZT04-WS1</t>
  </si>
  <si>
    <t>AHU01-WL1</t>
  </si>
  <si>
    <t>AHU02-WL1</t>
  </si>
  <si>
    <t>1,5kW/poj. 16A gG - BURGENER</t>
  </si>
  <si>
    <t>1,4kW/poj. 13AgG - BURGENER</t>
  </si>
  <si>
    <t>EHT9-WS1</t>
  </si>
  <si>
    <t>7G1,5</t>
  </si>
  <si>
    <t>5G1,5</t>
  </si>
  <si>
    <t>4G2,5</t>
  </si>
  <si>
    <t>3G1,5</t>
  </si>
  <si>
    <t>SICHR</t>
  </si>
  <si>
    <t>VÝVOD</t>
  </si>
  <si>
    <t>CO</t>
  </si>
  <si>
    <t>VÝKON</t>
  </si>
  <si>
    <t>KABEL</t>
  </si>
  <si>
    <t>odstředivka</t>
  </si>
  <si>
    <t>2x CYKY 4x50</t>
  </si>
  <si>
    <t>R407</t>
  </si>
  <si>
    <t>4*4</t>
  </si>
  <si>
    <t>P500</t>
  </si>
  <si>
    <t>4*2,5</t>
  </si>
  <si>
    <t>BURGENER</t>
  </si>
  <si>
    <t>3*4</t>
  </si>
  <si>
    <t>4G4</t>
  </si>
  <si>
    <t>P498</t>
  </si>
  <si>
    <t>3G4</t>
  </si>
  <si>
    <t>F-CY-JZ</t>
  </si>
  <si>
    <t>jistič 25A/C + chránič 30mA</t>
  </si>
  <si>
    <t>jistič 16A/C + chránič 30mA</t>
  </si>
  <si>
    <t>jistič 16A/C + chránič 30mA, F415</t>
  </si>
  <si>
    <t>VZT02-WL2</t>
  </si>
  <si>
    <t>4,05kW/8,3 //  VSD</t>
  </si>
  <si>
    <t>odhad délky - upravit dle dispozice skříní v rozvodně</t>
  </si>
  <si>
    <t>N403.1-WL1</t>
  </si>
  <si>
    <t>N403.2-WL1</t>
  </si>
  <si>
    <t>Z405-WL1</t>
  </si>
  <si>
    <t>N407-WL1</t>
  </si>
  <si>
    <t>N407-WS1</t>
  </si>
  <si>
    <t>N407-WS2</t>
  </si>
  <si>
    <t>AHU1.2A-WL1</t>
  </si>
  <si>
    <t>AHU1.2B-WL1</t>
  </si>
  <si>
    <t>P507-WL1</t>
  </si>
  <si>
    <t>PU-WL1</t>
  </si>
  <si>
    <t>P507-WS1</t>
  </si>
  <si>
    <t>Z405-R</t>
  </si>
  <si>
    <t>EHT1-TS1</t>
  </si>
  <si>
    <t>EHT3-TS1</t>
  </si>
  <si>
    <t>EHT4-TS1</t>
  </si>
  <si>
    <t>EHT5-TS1</t>
  </si>
  <si>
    <t>EHT6-TS1</t>
  </si>
  <si>
    <t>EHT7-TS1</t>
  </si>
  <si>
    <t>EHT8-TS1</t>
  </si>
  <si>
    <t>EHT2-TS1</t>
  </si>
  <si>
    <t>PK1-WL1</t>
  </si>
  <si>
    <t>PK1-M</t>
  </si>
  <si>
    <t>N402-MS1</t>
  </si>
  <si>
    <t>N402-M1</t>
  </si>
  <si>
    <t>N4047-M1</t>
  </si>
  <si>
    <t>N4047-MS1</t>
  </si>
  <si>
    <t>N406-M1</t>
  </si>
  <si>
    <t>G419-M1</t>
  </si>
  <si>
    <t>P494-M1</t>
  </si>
  <si>
    <t>P494-MS1</t>
  </si>
  <si>
    <t>G422-M1</t>
  </si>
  <si>
    <t>G422-MS1</t>
  </si>
  <si>
    <t>P495-M1</t>
  </si>
  <si>
    <t>P495-MS1</t>
  </si>
  <si>
    <t>P507-M1</t>
  </si>
  <si>
    <t>P507-MS1</t>
  </si>
  <si>
    <t>PU-R1</t>
  </si>
  <si>
    <t>TERMOSTAT JINÝ TYP PBTC300E</t>
  </si>
  <si>
    <t>AHU03-WL1</t>
  </si>
  <si>
    <t>VZT04-M1</t>
  </si>
  <si>
    <t>VZT04-PTC</t>
  </si>
  <si>
    <t>AHU01-MS1</t>
  </si>
  <si>
    <t>AHU02-MS1</t>
  </si>
  <si>
    <t>AHU03-MS1</t>
  </si>
  <si>
    <t>Brzdný odpor,U Centrifuge EU135</t>
  </si>
  <si>
    <t>Hydraulic unit centrifuge (Pump)</t>
  </si>
  <si>
    <t>Kabel</t>
  </si>
  <si>
    <t>5Gx50</t>
  </si>
  <si>
    <t>obyč</t>
  </si>
  <si>
    <t>stínaný</t>
  </si>
  <si>
    <t>Doplněno</t>
  </si>
  <si>
    <t>95+16</t>
  </si>
  <si>
    <t>SEZNAM</t>
  </si>
  <si>
    <t>TRACTEBEL ENGINEERING a.s.</t>
  </si>
  <si>
    <t>SPECIFIKACE</t>
  </si>
  <si>
    <t>Pernerova, 168 – 530 02 Pardubice – CZECH REPUBLIC</t>
  </si>
  <si>
    <t>VÝKAZ MATERIÁLU</t>
  </si>
  <si>
    <t>engineering-cz@tractebel.engie.com</t>
  </si>
  <si>
    <t>VÝPOČET</t>
  </si>
  <si>
    <t>Vyberte typ dokumentu:</t>
  </si>
  <si>
    <t xml:space="preserve">tractebel-engie.com </t>
  </si>
  <si>
    <t>TP-N-</t>
  </si>
  <si>
    <t>&lt;-pozor, v tomto řádku jsou skryté hodnoty</t>
  </si>
  <si>
    <t>Číslo dokumentu:</t>
  </si>
  <si>
    <t>Orientační číslo:</t>
  </si>
  <si>
    <t>D1.2-1-002</t>
  </si>
  <si>
    <t>UPOZORNĚNÍ! Tento dokument je duševním vlastnictvím fy. TRACTEBEL Engineering a.s. Nesmí být rozmnožován, ukazován ani předán třetí straně bez písemného souhlasu fy. TRACTEBEL Engineering a.s.</t>
  </si>
  <si>
    <t>Číslo projektu:</t>
  </si>
  <si>
    <t>W.0038220200</t>
  </si>
  <si>
    <t>W.005685 0300</t>
  </si>
  <si>
    <t>Vyberte stupeň utajení:</t>
  </si>
  <si>
    <t>Zákazník:</t>
  </si>
  <si>
    <t>Luèební závody Draslovka a.s. Kolín</t>
  </si>
  <si>
    <t>Lučební závody Draslovka a.s. Kolín</t>
  </si>
  <si>
    <t>PUBLIC</t>
  </si>
  <si>
    <t>Projekt:</t>
  </si>
  <si>
    <t>Výroba komplex. slouèenin používaných pro akumulaci el. energie</t>
  </si>
  <si>
    <t>SEMIPROVOZ IVCHS</t>
  </si>
  <si>
    <t>INTERNAL</t>
  </si>
  <si>
    <t>Stupeň:</t>
  </si>
  <si>
    <t>Seznam strojù a zaøízení</t>
  </si>
  <si>
    <t>Dokumentace pro provádění stavby</t>
  </si>
  <si>
    <t>RESTRICTED COMMUNICATION</t>
  </si>
  <si>
    <t>Název:</t>
  </si>
  <si>
    <t>CONFIDENTAL</t>
  </si>
  <si>
    <t>Komentáře:</t>
  </si>
  <si>
    <t xml:space="preserve"> </t>
  </si>
  <si>
    <t>&lt;-empty</t>
  </si>
  <si>
    <t>DFT</t>
  </si>
  <si>
    <t>PRL</t>
  </si>
  <si>
    <t>FIN</t>
  </si>
  <si>
    <t>CFC</t>
  </si>
  <si>
    <t>CAN</t>
  </si>
  <si>
    <t>ASB</t>
  </si>
  <si>
    <t>AFL</t>
  </si>
  <si>
    <t>Vyberte status revize:</t>
  </si>
  <si>
    <t>DSP</t>
  </si>
  <si>
    <t>Kašpar</t>
  </si>
  <si>
    <t>Tucauer</t>
  </si>
  <si>
    <t>REV.</t>
  </si>
  <si>
    <t>DATUM</t>
  </si>
  <si>
    <t>POPIS ZMĚNY</t>
  </si>
  <si>
    <t>STAT.</t>
  </si>
  <si>
    <t>ZPRACOVAL</t>
  </si>
  <si>
    <t>KONTROLOVAL</t>
  </si>
  <si>
    <t>SCHVÁLIL</t>
  </si>
  <si>
    <t>OVĚŘIL</t>
  </si>
  <si>
    <t>TRACTEBEL ENGINERING a.s., se sídlem Pernerova 168, Zelené Předměstí, 530 02 Pardubice  - ČESKÁ REPUBLIKA</t>
  </si>
  <si>
    <t>zapsaná v obch. rejstříku u Krajského soudu v Hradci Králové, oddíl B, vložka 135</t>
  </si>
  <si>
    <t>EHT2-WS1</t>
  </si>
  <si>
    <t>Změna SZ</t>
  </si>
  <si>
    <t>Signál EPS viz projekt EPS</t>
  </si>
  <si>
    <t>Změna SZ všude</t>
  </si>
  <si>
    <t>Součty konců</t>
  </si>
  <si>
    <t>Pravděpodobně uzemnění</t>
  </si>
  <si>
    <t>RM1, pole 01</t>
  </si>
  <si>
    <t>změna 5G, RM1, pole č.1</t>
  </si>
  <si>
    <t>K připomínkám</t>
  </si>
  <si>
    <t>PS-144 Technologická elektroinstalace</t>
  </si>
  <si>
    <t>Csato</t>
  </si>
  <si>
    <t>Soupis kabelů</t>
  </si>
  <si>
    <t>D2.c-003</t>
  </si>
  <si>
    <t>TP-N-9561 / rev. 0</t>
  </si>
  <si>
    <t>Propoj MS1-M1, PTC</t>
  </si>
  <si>
    <t>11+VSD</t>
  </si>
  <si>
    <t>4G6</t>
  </si>
  <si>
    <t>15,0 + VSD</t>
  </si>
  <si>
    <t>TRASA V ROZVODNĚ</t>
  </si>
  <si>
    <t>N405-WL1</t>
  </si>
  <si>
    <t>N405-R</t>
  </si>
  <si>
    <t>Z405</t>
  </si>
  <si>
    <t>Z405-R1</t>
  </si>
  <si>
    <t>—</t>
  </si>
  <si>
    <t>—-R1</t>
  </si>
  <si>
    <t>2,2 - ZÁSUVKA</t>
  </si>
  <si>
    <t>EHT10-WL1</t>
  </si>
  <si>
    <t>EHT10-WS1</t>
  </si>
  <si>
    <t>EHT11-WL1</t>
  </si>
  <si>
    <t>jistič 10A/C + chránič 30mA</t>
  </si>
  <si>
    <t>EHT11-WS1</t>
  </si>
  <si>
    <t>0,37kW, MÍSTNÍ SPÍNAČ</t>
  </si>
  <si>
    <t>M914</t>
  </si>
  <si>
    <t>M916</t>
  </si>
  <si>
    <t>M925</t>
  </si>
  <si>
    <t>M918</t>
  </si>
  <si>
    <t>M920</t>
  </si>
  <si>
    <t>Stávající, neřešeno</t>
  </si>
  <si>
    <t>AHU1.2A-M_F412_18</t>
  </si>
  <si>
    <t>AHU1.2A-M_F412_19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</si>
</sst>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Aptos Narrow"/>
      <family val="2"/>
      <charset val="238"/>
      <scheme val="minor"/>
    </font>
    <font>
      <sz val="10"/>
      <name val="MS Sans Serif"/>
      <charset val="238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70C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Tahoma"/>
      <family val="2"/>
      <charset val="238"/>
    </font>
    <font>
      <sz val="8"/>
      <color theme="0" tint="-0.499984740745262"/>
      <name val="Tahoma"/>
      <family val="2"/>
      <charset val="238"/>
    </font>
    <font>
      <b/>
      <sz val="8"/>
      <color rgb="FF1C2691"/>
      <name val="Tahoma"/>
      <family val="2"/>
      <charset val="238"/>
    </font>
    <font>
      <sz val="11"/>
      <color theme="0" tint="-0.499984740745262"/>
      <name val="Tahoma"/>
      <family val="2"/>
      <charset val="238"/>
    </font>
    <font>
      <b/>
      <sz val="8"/>
      <color theme="0" tint="-0.499984740745262"/>
      <name val="Tahoma"/>
      <family val="2"/>
      <charset val="238"/>
    </font>
    <font>
      <sz val="11"/>
      <color theme="0"/>
      <name val="Tahoma"/>
      <family val="2"/>
      <charset val="238"/>
    </font>
    <font>
      <sz val="3"/>
      <color theme="1"/>
      <name val="Tahoma"/>
      <family val="2"/>
      <charset val="238"/>
    </font>
    <font>
      <sz val="6"/>
      <color theme="0" tint="-0.499984740745262"/>
      <name val="Tahoma"/>
      <family val="2"/>
      <charset val="238"/>
    </font>
    <font>
      <b/>
      <sz val="15"/>
      <color rgb="FF3399FF"/>
      <name val="Tahoma"/>
      <family val="2"/>
      <charset val="238"/>
    </font>
    <font>
      <b/>
      <sz val="15"/>
      <color rgb="FF00AAFF"/>
      <name val="Tahoma"/>
      <family val="2"/>
      <charset val="238"/>
    </font>
    <font>
      <b/>
      <sz val="8"/>
      <color rgb="FF002060"/>
      <name val="Tahoma"/>
      <family val="2"/>
      <charset val="238"/>
    </font>
    <font>
      <sz val="8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sz val="8"/>
      <color rgb="FF002060"/>
      <name val="Tahoma"/>
      <family val="2"/>
      <charset val="238"/>
    </font>
    <font>
      <sz val="6"/>
      <color rgb="FF1C2690"/>
      <name val="Tahoma"/>
      <family val="2"/>
      <charset val="238"/>
    </font>
    <font>
      <b/>
      <sz val="10"/>
      <color rgb="FFB878BF"/>
      <name val="Tahoma"/>
      <family val="2"/>
      <charset val="238"/>
    </font>
    <font>
      <b/>
      <sz val="10"/>
      <name val="Tahoma"/>
      <family val="2"/>
      <charset val="238"/>
    </font>
    <font>
      <b/>
      <sz val="7.5"/>
      <color rgb="FF002060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7"/>
      <name val="Tahoma"/>
      <family val="2"/>
      <charset val="238"/>
    </font>
    <font>
      <b/>
      <sz val="6"/>
      <color rgb="FF00AAFF"/>
      <name val="Tahoma"/>
      <family val="2"/>
      <charset val="238"/>
    </font>
    <font>
      <b/>
      <sz val="6"/>
      <color rgb="FF3399FF"/>
      <name val="Tahoma"/>
      <family val="2"/>
      <charset val="238"/>
    </font>
    <font>
      <b/>
      <sz val="6"/>
      <color rgb="FF1C2691"/>
      <name val="Tahoma"/>
      <family val="2"/>
      <charset val="238"/>
    </font>
    <font>
      <sz val="6"/>
      <color rgb="FF808080"/>
      <name val="Tahoma"/>
      <family val="2"/>
      <charset val="238"/>
    </font>
    <font>
      <sz val="6"/>
      <color theme="1"/>
      <name val="Tahom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/>
  </cellStyleXfs>
  <cellXfs count="10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0" xfId="1" applyFont="1"/>
    <xf numFmtId="0" fontId="2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49" fontId="3" fillId="0" borderId="9" xfId="2" applyNumberFormat="1" applyFont="1" applyBorder="1" applyAlignment="1" applyProtection="1">
      <alignment horizontal="center" vertical="center"/>
      <protection hidden="1"/>
    </xf>
    <xf numFmtId="49" fontId="2" fillId="0" borderId="12" xfId="2" applyNumberFormat="1" applyFont="1" applyBorder="1" applyAlignment="1" applyProtection="1">
      <alignment horizontal="center" vertical="center"/>
      <protection hidden="1"/>
    </xf>
    <xf numFmtId="0" fontId="2" fillId="0" borderId="12" xfId="1" applyFont="1" applyBorder="1" applyAlignment="1">
      <alignment horizontal="center" vertical="center"/>
    </xf>
    <xf numFmtId="49" fontId="2" fillId="0" borderId="9" xfId="2" applyNumberFormat="1" applyFont="1" applyBorder="1" applyAlignment="1" applyProtection="1">
      <alignment horizontal="center" vertical="center"/>
      <protection hidden="1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49" fontId="2" fillId="0" borderId="15" xfId="2" applyNumberFormat="1" applyFont="1" applyBorder="1" applyAlignment="1" applyProtection="1">
      <alignment horizontal="center" vertical="center"/>
      <protection hidden="1"/>
    </xf>
    <xf numFmtId="0" fontId="2" fillId="0" borderId="15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16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49" fontId="2" fillId="2" borderId="12" xfId="2" applyNumberFormat="1" applyFont="1" applyFill="1" applyBorder="1" applyAlignment="1" applyProtection="1">
      <alignment horizontal="center" vertical="center"/>
      <protection hidden="1"/>
    </xf>
    <xf numFmtId="0" fontId="2" fillId="2" borderId="12" xfId="1" applyFont="1" applyFill="1" applyBorder="1" applyAlignment="1">
      <alignment horizontal="center" vertical="center"/>
    </xf>
    <xf numFmtId="49" fontId="2" fillId="0" borderId="8" xfId="2" applyNumberFormat="1" applyFont="1" applyBorder="1" applyAlignment="1" applyProtection="1">
      <alignment horizontal="center" vertical="center"/>
      <protection hidden="1"/>
    </xf>
    <xf numFmtId="0" fontId="2" fillId="2" borderId="0" xfId="1" applyFont="1" applyFill="1"/>
    <xf numFmtId="49" fontId="2" fillId="3" borderId="12" xfId="2" applyNumberFormat="1" applyFont="1" applyFill="1" applyBorder="1" applyAlignment="1" applyProtection="1">
      <alignment horizontal="center" vertical="center"/>
      <protection hidden="1"/>
    </xf>
    <xf numFmtId="0" fontId="2" fillId="4" borderId="11" xfId="1" applyFont="1" applyFill="1" applyBorder="1" applyAlignment="1">
      <alignment horizontal="center" vertical="center"/>
    </xf>
    <xf numFmtId="49" fontId="2" fillId="4" borderId="9" xfId="2" applyNumberFormat="1" applyFont="1" applyFill="1" applyBorder="1" applyAlignment="1" applyProtection="1">
      <alignment horizontal="center" vertical="center"/>
      <protection hidden="1"/>
    </xf>
    <xf numFmtId="49" fontId="2" fillId="4" borderId="12" xfId="2" applyNumberFormat="1" applyFont="1" applyFill="1" applyBorder="1" applyAlignment="1" applyProtection="1">
      <alignment horizontal="center" vertical="center"/>
      <protection hidden="1"/>
    </xf>
    <xf numFmtId="0" fontId="2" fillId="4" borderId="12" xfId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/>
    </xf>
    <xf numFmtId="49" fontId="2" fillId="0" borderId="5" xfId="2" applyNumberFormat="1" applyFont="1" applyBorder="1" applyAlignment="1" applyProtection="1">
      <alignment horizontal="center" vertical="center"/>
      <protection hidden="1"/>
    </xf>
    <xf numFmtId="0" fontId="2" fillId="3" borderId="12" xfId="1" applyFont="1" applyFill="1" applyBorder="1" applyAlignment="1">
      <alignment horizontal="center" vertical="center"/>
    </xf>
    <xf numFmtId="49" fontId="4" fillId="3" borderId="12" xfId="2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5" fillId="0" borderId="23" xfId="2" applyFont="1" applyBorder="1" applyAlignment="1">
      <alignment horizontal="center"/>
    </xf>
    <xf numFmtId="0" fontId="2" fillId="0" borderId="0" xfId="1" applyFont="1" applyAlignment="1">
      <alignment horizontal="right"/>
    </xf>
    <xf numFmtId="0" fontId="7" fillId="0" borderId="0" xfId="3"/>
    <xf numFmtId="0" fontId="8" fillId="0" borderId="0" xfId="3" applyFont="1"/>
    <xf numFmtId="0" fontId="9" fillId="0" borderId="0" xfId="3" applyFont="1"/>
    <xf numFmtId="0" fontId="10" fillId="0" borderId="0" xfId="3" applyFont="1" applyAlignment="1">
      <alignment vertical="top"/>
    </xf>
    <xf numFmtId="0" fontId="9" fillId="0" borderId="0" xfId="3" applyFont="1" applyAlignment="1">
      <alignment vertical="top"/>
    </xf>
    <xf numFmtId="0" fontId="11" fillId="0" borderId="0" xfId="3" applyFont="1"/>
    <xf numFmtId="0" fontId="12" fillId="0" borderId="0" xfId="3" applyFont="1" applyAlignment="1">
      <alignment vertical="top"/>
    </xf>
    <xf numFmtId="0" fontId="13" fillId="0" borderId="0" xfId="3" applyFont="1"/>
    <xf numFmtId="0" fontId="14" fillId="0" borderId="0" xfId="3" applyFont="1"/>
    <xf numFmtId="0" fontId="15" fillId="0" borderId="0" xfId="3" applyFont="1"/>
    <xf numFmtId="0" fontId="16" fillId="0" borderId="0" xfId="3" applyFont="1" applyAlignment="1">
      <alignment horizontal="right" vertical="top"/>
    </xf>
    <xf numFmtId="0" fontId="17" fillId="0" borderId="0" xfId="3" applyFont="1" applyAlignment="1">
      <alignment horizontal="right" vertical="top"/>
    </xf>
    <xf numFmtId="0" fontId="18" fillId="0" borderId="0" xfId="3" applyFont="1" applyAlignment="1">
      <alignment vertical="top"/>
    </xf>
    <xf numFmtId="0" fontId="19" fillId="0" borderId="0" xfId="3" applyFont="1"/>
    <xf numFmtId="0" fontId="20" fillId="0" borderId="0" xfId="3" applyFont="1" applyAlignment="1">
      <alignment vertical="top"/>
    </xf>
    <xf numFmtId="0" fontId="19" fillId="0" borderId="0" xfId="3" applyFont="1" applyAlignment="1">
      <alignment vertical="top"/>
    </xf>
    <xf numFmtId="0" fontId="21" fillId="0" borderId="0" xfId="3" applyFont="1" applyAlignment="1">
      <alignment vertical="top"/>
    </xf>
    <xf numFmtId="0" fontId="19" fillId="0" borderId="0" xfId="3" applyFont="1" applyAlignment="1" applyProtection="1">
      <alignment vertical="top"/>
      <protection locked="0"/>
    </xf>
    <xf numFmtId="0" fontId="19" fillId="0" borderId="0" xfId="3" applyFont="1" applyAlignment="1">
      <alignment horizontal="left" vertical="top" indent="8"/>
    </xf>
    <xf numFmtId="0" fontId="19" fillId="0" borderId="0" xfId="3" applyFont="1" applyAlignment="1">
      <alignment horizontal="left" vertical="top"/>
    </xf>
    <xf numFmtId="0" fontId="23" fillId="0" borderId="0" xfId="3" applyFont="1" applyAlignment="1">
      <alignment horizontal="right"/>
    </xf>
    <xf numFmtId="0" fontId="24" fillId="0" borderId="0" xfId="3" applyFont="1" applyAlignment="1">
      <alignment horizontal="right"/>
    </xf>
    <xf numFmtId="0" fontId="25" fillId="0" borderId="0" xfId="3" applyFont="1" applyAlignment="1">
      <alignment vertical="center"/>
    </xf>
    <xf numFmtId="0" fontId="26" fillId="0" borderId="0" xfId="3" applyFont="1" applyAlignment="1">
      <alignment horizontal="left" vertical="center"/>
    </xf>
    <xf numFmtId="0" fontId="20" fillId="0" borderId="0" xfId="3" applyFont="1" applyAlignment="1">
      <alignment vertical="center"/>
    </xf>
    <xf numFmtId="0" fontId="26" fillId="0" borderId="0" xfId="3" applyFont="1" applyAlignment="1">
      <alignment vertical="center"/>
    </xf>
    <xf numFmtId="0" fontId="27" fillId="0" borderId="0" xfId="3" applyFont="1" applyAlignment="1">
      <alignment horizontal="left" vertical="center"/>
    </xf>
    <xf numFmtId="0" fontId="27" fillId="0" borderId="0" xfId="3" applyFont="1" applyAlignment="1">
      <alignment vertical="center"/>
    </xf>
    <xf numFmtId="0" fontId="27" fillId="0" borderId="0" xfId="3" applyFont="1"/>
    <xf numFmtId="0" fontId="8" fillId="0" borderId="0" xfId="3" quotePrefix="1" applyFont="1"/>
    <xf numFmtId="0" fontId="28" fillId="0" borderId="24" xfId="3" applyFont="1" applyBorder="1" applyAlignment="1">
      <alignment horizontal="left" vertical="center" wrapText="1" indent="1"/>
    </xf>
    <xf numFmtId="0" fontId="28" fillId="0" borderId="0" xfId="3" applyFont="1" applyAlignment="1">
      <alignment vertical="center" wrapText="1"/>
    </xf>
    <xf numFmtId="0" fontId="28" fillId="0" borderId="24" xfId="3" applyFont="1" applyBorder="1" applyAlignment="1">
      <alignment horizontal="center" vertical="center" wrapText="1"/>
    </xf>
    <xf numFmtId="14" fontId="28" fillId="0" borderId="24" xfId="3" applyNumberFormat="1" applyFont="1" applyBorder="1" applyAlignment="1">
      <alignment horizontal="center" vertical="center" wrapText="1"/>
    </xf>
    <xf numFmtId="0" fontId="28" fillId="0" borderId="24" xfId="3" applyFont="1" applyBorder="1" applyAlignment="1">
      <alignment vertical="center" wrapText="1"/>
    </xf>
    <xf numFmtId="0" fontId="29" fillId="0" borderId="0" xfId="3" applyFont="1" applyAlignment="1">
      <alignment vertical="center" wrapText="1"/>
    </xf>
    <xf numFmtId="0" fontId="30" fillId="0" borderId="0" xfId="3" applyFont="1" applyAlignment="1">
      <alignment vertical="center" wrapText="1"/>
    </xf>
    <xf numFmtId="0" fontId="31" fillId="0" borderId="0" xfId="3" applyFont="1" applyAlignment="1">
      <alignment horizontal="left" vertical="center" wrapText="1" indent="1"/>
    </xf>
    <xf numFmtId="0" fontId="32" fillId="0" borderId="0" xfId="3" applyFont="1" applyAlignment="1">
      <alignment vertical="center"/>
    </xf>
    <xf numFmtId="0" fontId="33" fillId="0" borderId="0" xfId="3" applyFont="1" applyAlignment="1">
      <alignment vertical="center"/>
    </xf>
    <xf numFmtId="49" fontId="2" fillId="5" borderId="12" xfId="2" applyNumberFormat="1" applyFont="1" applyFill="1" applyBorder="1" applyAlignment="1" applyProtection="1">
      <alignment horizontal="center" vertical="center"/>
      <protection hidden="1"/>
    </xf>
    <xf numFmtId="0" fontId="2" fillId="5" borderId="12" xfId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5" borderId="13" xfId="1" applyFont="1" applyFill="1" applyBorder="1" applyAlignment="1">
      <alignment horizontal="center" vertical="center"/>
    </xf>
    <xf numFmtId="0" fontId="2" fillId="5" borderId="14" xfId="1" applyFont="1" applyFill="1" applyBorder="1" applyAlignment="1">
      <alignment horizontal="center" vertical="center" wrapText="1"/>
    </xf>
    <xf numFmtId="0" fontId="22" fillId="0" borderId="0" xfId="3" applyFont="1" applyAlignment="1">
      <alignment horizontal="center" textRotation="90"/>
    </xf>
  </cellXfs>
  <cellStyles count="4">
    <cellStyle name="Normální" xfId="0" builtinId="0"/>
    <cellStyle name="Normální 2 3 2 2" xfId="3" xr:uid="{3D8447C7-4B93-45A4-8B2C-D512F0EF9FA1}"/>
    <cellStyle name="normální_Soupis_kabelu1" xfId="1" xr:uid="{DDC26BA7-E7D5-475A-971A-4901E69CB6AB}"/>
    <cellStyle name="normální_Soupis_spotrebicu" xfId="2" xr:uid="{6D295E7E-FB94-4DFC-BCAC-A98D43ADB425}"/>
  </cellStyles>
  <dxfs count="4">
    <dxf>
      <font>
        <color rgb="FFFF6E23"/>
      </font>
    </dxf>
    <dxf>
      <font>
        <color rgb="FF1C2691"/>
      </font>
    </dxf>
    <dxf>
      <font>
        <color rgb="FFFF0000"/>
      </font>
    </dxf>
    <dxf>
      <font>
        <color rgb="FFB878B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$K$7" fmlaRange="$K$2:$K$5" noThreeD="1" sel="1" val="0"/>
</file>

<file path=xl/ctrlProps/ctrlProp2.xml><?xml version="1.0" encoding="utf-8"?>
<formControlPr xmlns="http://schemas.microsoft.com/office/spreadsheetml/2009/9/main" objectType="Drop" dropStyle="combo" dx="22" fmlaLink="$K$15" fmlaRange="$K$18:$K$21" noThreeD="1" sel="2" val="0"/>
</file>

<file path=xl/ctrlProps/ctrlProp3.xml><?xml version="1.0" encoding="utf-8"?>
<formControlPr xmlns="http://schemas.microsoft.com/office/spreadsheetml/2009/9/main" objectType="Drop" dropStyle="combo" dx="22" fmlaLink="$K$58" fmlaRange="$K$44:$K$51" noThreeD="1" sel="3" val="0"/>
</file>

<file path=xl/ctrlProps/ctrlProp4.xml><?xml version="1.0" encoding="utf-8"?>
<formControlPr xmlns="http://schemas.microsoft.com/office/spreadsheetml/2009/9/main" objectType="Drop" dropStyle="combo" dx="22" fmlaLink="$K$57" fmlaRange="$K$44:$K$51" noThreeD="1" sel="1" val="0"/>
</file>

<file path=xl/ctrlProps/ctrlProp5.xml><?xml version="1.0" encoding="utf-8"?>
<formControlPr xmlns="http://schemas.microsoft.com/office/spreadsheetml/2009/9/main" objectType="Drop" dropStyle="combo" dx="22" fmlaLink="$K$56" fmlaRange="$K$44:$K$51" noThreeD="1" sel="1" val="0"/>
</file>

<file path=xl/ctrlProps/ctrlProp6.xml><?xml version="1.0" encoding="utf-8"?>
<formControlPr xmlns="http://schemas.microsoft.com/office/spreadsheetml/2009/9/main" objectType="Drop" dropStyle="combo" dx="22" fmlaLink="$K$55" fmlaRange="$K$44:$K$51" noThreeD="1" sel="1" val="0"/>
</file>

<file path=xl/ctrlProps/ctrlProp7.xml><?xml version="1.0" encoding="utf-8"?>
<formControlPr xmlns="http://schemas.microsoft.com/office/spreadsheetml/2009/9/main" objectType="Drop" dropStyle="combo" dx="22" fmlaLink="$K$54" fmlaRange="$K$44:$K$51" noThreeD="1" sel="1" val="0"/>
</file>

<file path=xl/ctrlProps/ctrlProp8.xml><?xml version="1.0" encoding="utf-8"?>
<formControlPr xmlns="http://schemas.microsoft.com/office/spreadsheetml/2009/9/main" objectType="Drop" dropStyle="combo" dx="22" fmlaLink="$K$53" fmlaRange="$K$44:$K$51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6</xdr:row>
          <xdr:rowOff>7620</xdr:rowOff>
        </xdr:from>
        <xdr:to>
          <xdr:col>13</xdr:col>
          <xdr:colOff>350520</xdr:colOff>
          <xdr:row>7</xdr:row>
          <xdr:rowOff>121920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14</xdr:row>
          <xdr:rowOff>30480</xdr:rowOff>
        </xdr:from>
        <xdr:to>
          <xdr:col>13</xdr:col>
          <xdr:colOff>350520</xdr:colOff>
          <xdr:row>15</xdr:row>
          <xdr:rowOff>60960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57</xdr:row>
          <xdr:rowOff>121920</xdr:rowOff>
        </xdr:from>
        <xdr:to>
          <xdr:col>13</xdr:col>
          <xdr:colOff>350520</xdr:colOff>
          <xdr:row>58</xdr:row>
          <xdr:rowOff>152401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56</xdr:row>
          <xdr:rowOff>121920</xdr:rowOff>
        </xdr:from>
        <xdr:to>
          <xdr:col>13</xdr:col>
          <xdr:colOff>350520</xdr:colOff>
          <xdr:row>57</xdr:row>
          <xdr:rowOff>152400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55</xdr:row>
          <xdr:rowOff>121920</xdr:rowOff>
        </xdr:from>
        <xdr:to>
          <xdr:col>13</xdr:col>
          <xdr:colOff>350520</xdr:colOff>
          <xdr:row>56</xdr:row>
          <xdr:rowOff>152399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54</xdr:row>
          <xdr:rowOff>121920</xdr:rowOff>
        </xdr:from>
        <xdr:to>
          <xdr:col>13</xdr:col>
          <xdr:colOff>350520</xdr:colOff>
          <xdr:row>55</xdr:row>
          <xdr:rowOff>152400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53</xdr:row>
          <xdr:rowOff>121920</xdr:rowOff>
        </xdr:from>
        <xdr:to>
          <xdr:col>13</xdr:col>
          <xdr:colOff>350520</xdr:colOff>
          <xdr:row>54</xdr:row>
          <xdr:rowOff>152401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52</xdr:row>
          <xdr:rowOff>121920</xdr:rowOff>
        </xdr:from>
        <xdr:to>
          <xdr:col>13</xdr:col>
          <xdr:colOff>350520</xdr:colOff>
          <xdr:row>53</xdr:row>
          <xdr:rowOff>152399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4</xdr:col>
      <xdr:colOff>120802</xdr:colOff>
      <xdr:row>1</xdr:row>
      <xdr:rowOff>277038</xdr:rowOff>
    </xdr:to>
    <xdr:pic>
      <xdr:nvPicPr>
        <xdr:cNvPr id="4" name="Obrázek 1">
          <a:extLst>
            <a:ext uri="{FF2B5EF4-FFF2-40B4-BE49-F238E27FC236}">
              <a16:creationId xmlns:a16="http://schemas.microsoft.com/office/drawing/2014/main" id="{E84CE49D-2CE4-47FF-A39E-EFB53B7F9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18"/>
        <a:stretch>
          <a:fillRect/>
        </a:stretch>
      </xdr:blipFill>
      <xdr:spPr bwMode="auto">
        <a:xfrm>
          <a:off x="0" y="0"/>
          <a:ext cx="1752252" cy="513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06EC-8893-4BD6-BC11-140B20C8C7FF}">
  <sheetPr codeName="List1"/>
  <dimension ref="A1:L63"/>
  <sheetViews>
    <sheetView tabSelected="1" view="pageBreakPreview" zoomScale="115" zoomScaleNormal="100" zoomScaleSheetLayoutView="115" workbookViewId="0">
      <selection activeCell="F48" sqref="F48"/>
    </sheetView>
  </sheetViews>
  <sheetFormatPr defaultRowHeight="13.8" x14ac:dyDescent="0.25"/>
  <cols>
    <col min="1" max="1" width="5.44140625" style="58" customWidth="1"/>
    <col min="2" max="2" width="13.44140625" style="58" customWidth="1"/>
    <col min="3" max="3" width="20.5546875" style="58" hidden="1" customWidth="1"/>
    <col min="4" max="4" width="5.5546875" style="58" customWidth="1"/>
    <col min="5" max="8" width="19" style="58" customWidth="1"/>
    <col min="9" max="9" width="2.33203125" style="58" customWidth="1"/>
    <col min="10" max="256" width="9.109375" style="58"/>
    <col min="257" max="257" width="5.44140625" style="58" customWidth="1"/>
    <col min="258" max="258" width="9.5546875" style="58" customWidth="1"/>
    <col min="259" max="259" width="0" style="58" hidden="1" customWidth="1"/>
    <col min="260" max="260" width="5.5546875" style="58" customWidth="1"/>
    <col min="261" max="263" width="14.6640625" style="58" customWidth="1"/>
    <col min="264" max="264" width="30.6640625" style="58" customWidth="1"/>
    <col min="265" max="265" width="2.33203125" style="58" customWidth="1"/>
    <col min="266" max="512" width="9.109375" style="58"/>
    <col min="513" max="513" width="5.44140625" style="58" customWidth="1"/>
    <col min="514" max="514" width="9.5546875" style="58" customWidth="1"/>
    <col min="515" max="515" width="0" style="58" hidden="1" customWidth="1"/>
    <col min="516" max="516" width="5.5546875" style="58" customWidth="1"/>
    <col min="517" max="519" width="14.6640625" style="58" customWidth="1"/>
    <col min="520" max="520" width="30.6640625" style="58" customWidth="1"/>
    <col min="521" max="521" width="2.33203125" style="58" customWidth="1"/>
    <col min="522" max="768" width="9.109375" style="58"/>
    <col min="769" max="769" width="5.44140625" style="58" customWidth="1"/>
    <col min="770" max="770" width="9.5546875" style="58" customWidth="1"/>
    <col min="771" max="771" width="0" style="58" hidden="1" customWidth="1"/>
    <col min="772" max="772" width="5.5546875" style="58" customWidth="1"/>
    <col min="773" max="775" width="14.6640625" style="58" customWidth="1"/>
    <col min="776" max="776" width="30.6640625" style="58" customWidth="1"/>
    <col min="777" max="777" width="2.33203125" style="58" customWidth="1"/>
    <col min="778" max="1024" width="9.109375" style="58"/>
    <col min="1025" max="1025" width="5.44140625" style="58" customWidth="1"/>
    <col min="1026" max="1026" width="9.5546875" style="58" customWidth="1"/>
    <col min="1027" max="1027" width="0" style="58" hidden="1" customWidth="1"/>
    <col min="1028" max="1028" width="5.5546875" style="58" customWidth="1"/>
    <col min="1029" max="1031" width="14.6640625" style="58" customWidth="1"/>
    <col min="1032" max="1032" width="30.6640625" style="58" customWidth="1"/>
    <col min="1033" max="1033" width="2.33203125" style="58" customWidth="1"/>
    <col min="1034" max="1280" width="9.109375" style="58"/>
    <col min="1281" max="1281" width="5.44140625" style="58" customWidth="1"/>
    <col min="1282" max="1282" width="9.5546875" style="58" customWidth="1"/>
    <col min="1283" max="1283" width="0" style="58" hidden="1" customWidth="1"/>
    <col min="1284" max="1284" width="5.5546875" style="58" customWidth="1"/>
    <col min="1285" max="1287" width="14.6640625" style="58" customWidth="1"/>
    <col min="1288" max="1288" width="30.6640625" style="58" customWidth="1"/>
    <col min="1289" max="1289" width="2.33203125" style="58" customWidth="1"/>
    <col min="1290" max="1536" width="9.109375" style="58"/>
    <col min="1537" max="1537" width="5.44140625" style="58" customWidth="1"/>
    <col min="1538" max="1538" width="9.5546875" style="58" customWidth="1"/>
    <col min="1539" max="1539" width="0" style="58" hidden="1" customWidth="1"/>
    <col min="1540" max="1540" width="5.5546875" style="58" customWidth="1"/>
    <col min="1541" max="1543" width="14.6640625" style="58" customWidth="1"/>
    <col min="1544" max="1544" width="30.6640625" style="58" customWidth="1"/>
    <col min="1545" max="1545" width="2.33203125" style="58" customWidth="1"/>
    <col min="1546" max="1792" width="9.109375" style="58"/>
    <col min="1793" max="1793" width="5.44140625" style="58" customWidth="1"/>
    <col min="1794" max="1794" width="9.5546875" style="58" customWidth="1"/>
    <col min="1795" max="1795" width="0" style="58" hidden="1" customWidth="1"/>
    <col min="1796" max="1796" width="5.5546875" style="58" customWidth="1"/>
    <col min="1797" max="1799" width="14.6640625" style="58" customWidth="1"/>
    <col min="1800" max="1800" width="30.6640625" style="58" customWidth="1"/>
    <col min="1801" max="1801" width="2.33203125" style="58" customWidth="1"/>
    <col min="1802" max="2048" width="9.109375" style="58"/>
    <col min="2049" max="2049" width="5.44140625" style="58" customWidth="1"/>
    <col min="2050" max="2050" width="9.5546875" style="58" customWidth="1"/>
    <col min="2051" max="2051" width="0" style="58" hidden="1" customWidth="1"/>
    <col min="2052" max="2052" width="5.5546875" style="58" customWidth="1"/>
    <col min="2053" max="2055" width="14.6640625" style="58" customWidth="1"/>
    <col min="2056" max="2056" width="30.6640625" style="58" customWidth="1"/>
    <col min="2057" max="2057" width="2.33203125" style="58" customWidth="1"/>
    <col min="2058" max="2304" width="9.109375" style="58"/>
    <col min="2305" max="2305" width="5.44140625" style="58" customWidth="1"/>
    <col min="2306" max="2306" width="9.5546875" style="58" customWidth="1"/>
    <col min="2307" max="2307" width="0" style="58" hidden="1" customWidth="1"/>
    <col min="2308" max="2308" width="5.5546875" style="58" customWidth="1"/>
    <col min="2309" max="2311" width="14.6640625" style="58" customWidth="1"/>
    <col min="2312" max="2312" width="30.6640625" style="58" customWidth="1"/>
    <col min="2313" max="2313" width="2.33203125" style="58" customWidth="1"/>
    <col min="2314" max="2560" width="9.109375" style="58"/>
    <col min="2561" max="2561" width="5.44140625" style="58" customWidth="1"/>
    <col min="2562" max="2562" width="9.5546875" style="58" customWidth="1"/>
    <col min="2563" max="2563" width="0" style="58" hidden="1" customWidth="1"/>
    <col min="2564" max="2564" width="5.5546875" style="58" customWidth="1"/>
    <col min="2565" max="2567" width="14.6640625" style="58" customWidth="1"/>
    <col min="2568" max="2568" width="30.6640625" style="58" customWidth="1"/>
    <col min="2569" max="2569" width="2.33203125" style="58" customWidth="1"/>
    <col min="2570" max="2816" width="9.109375" style="58"/>
    <col min="2817" max="2817" width="5.44140625" style="58" customWidth="1"/>
    <col min="2818" max="2818" width="9.5546875" style="58" customWidth="1"/>
    <col min="2819" max="2819" width="0" style="58" hidden="1" customWidth="1"/>
    <col min="2820" max="2820" width="5.5546875" style="58" customWidth="1"/>
    <col min="2821" max="2823" width="14.6640625" style="58" customWidth="1"/>
    <col min="2824" max="2824" width="30.6640625" style="58" customWidth="1"/>
    <col min="2825" max="2825" width="2.33203125" style="58" customWidth="1"/>
    <col min="2826" max="3072" width="9.109375" style="58"/>
    <col min="3073" max="3073" width="5.44140625" style="58" customWidth="1"/>
    <col min="3074" max="3074" width="9.5546875" style="58" customWidth="1"/>
    <col min="3075" max="3075" width="0" style="58" hidden="1" customWidth="1"/>
    <col min="3076" max="3076" width="5.5546875" style="58" customWidth="1"/>
    <col min="3077" max="3079" width="14.6640625" style="58" customWidth="1"/>
    <col min="3080" max="3080" width="30.6640625" style="58" customWidth="1"/>
    <col min="3081" max="3081" width="2.33203125" style="58" customWidth="1"/>
    <col min="3082" max="3328" width="9.109375" style="58"/>
    <col min="3329" max="3329" width="5.44140625" style="58" customWidth="1"/>
    <col min="3330" max="3330" width="9.5546875" style="58" customWidth="1"/>
    <col min="3331" max="3331" width="0" style="58" hidden="1" customWidth="1"/>
    <col min="3332" max="3332" width="5.5546875" style="58" customWidth="1"/>
    <col min="3333" max="3335" width="14.6640625" style="58" customWidth="1"/>
    <col min="3336" max="3336" width="30.6640625" style="58" customWidth="1"/>
    <col min="3337" max="3337" width="2.33203125" style="58" customWidth="1"/>
    <col min="3338" max="3584" width="9.109375" style="58"/>
    <col min="3585" max="3585" width="5.44140625" style="58" customWidth="1"/>
    <col min="3586" max="3586" width="9.5546875" style="58" customWidth="1"/>
    <col min="3587" max="3587" width="0" style="58" hidden="1" customWidth="1"/>
    <col min="3588" max="3588" width="5.5546875" style="58" customWidth="1"/>
    <col min="3589" max="3591" width="14.6640625" style="58" customWidth="1"/>
    <col min="3592" max="3592" width="30.6640625" style="58" customWidth="1"/>
    <col min="3593" max="3593" width="2.33203125" style="58" customWidth="1"/>
    <col min="3594" max="3840" width="9.109375" style="58"/>
    <col min="3841" max="3841" width="5.44140625" style="58" customWidth="1"/>
    <col min="3842" max="3842" width="9.5546875" style="58" customWidth="1"/>
    <col min="3843" max="3843" width="0" style="58" hidden="1" customWidth="1"/>
    <col min="3844" max="3844" width="5.5546875" style="58" customWidth="1"/>
    <col min="3845" max="3847" width="14.6640625" style="58" customWidth="1"/>
    <col min="3848" max="3848" width="30.6640625" style="58" customWidth="1"/>
    <col min="3849" max="3849" width="2.33203125" style="58" customWidth="1"/>
    <col min="3850" max="4096" width="9.109375" style="58"/>
    <col min="4097" max="4097" width="5.44140625" style="58" customWidth="1"/>
    <col min="4098" max="4098" width="9.5546875" style="58" customWidth="1"/>
    <col min="4099" max="4099" width="0" style="58" hidden="1" customWidth="1"/>
    <col min="4100" max="4100" width="5.5546875" style="58" customWidth="1"/>
    <col min="4101" max="4103" width="14.6640625" style="58" customWidth="1"/>
    <col min="4104" max="4104" width="30.6640625" style="58" customWidth="1"/>
    <col min="4105" max="4105" width="2.33203125" style="58" customWidth="1"/>
    <col min="4106" max="4352" width="9.109375" style="58"/>
    <col min="4353" max="4353" width="5.44140625" style="58" customWidth="1"/>
    <col min="4354" max="4354" width="9.5546875" style="58" customWidth="1"/>
    <col min="4355" max="4355" width="0" style="58" hidden="1" customWidth="1"/>
    <col min="4356" max="4356" width="5.5546875" style="58" customWidth="1"/>
    <col min="4357" max="4359" width="14.6640625" style="58" customWidth="1"/>
    <col min="4360" max="4360" width="30.6640625" style="58" customWidth="1"/>
    <col min="4361" max="4361" width="2.33203125" style="58" customWidth="1"/>
    <col min="4362" max="4608" width="9.109375" style="58"/>
    <col min="4609" max="4609" width="5.44140625" style="58" customWidth="1"/>
    <col min="4610" max="4610" width="9.5546875" style="58" customWidth="1"/>
    <col min="4611" max="4611" width="0" style="58" hidden="1" customWidth="1"/>
    <col min="4612" max="4612" width="5.5546875" style="58" customWidth="1"/>
    <col min="4613" max="4615" width="14.6640625" style="58" customWidth="1"/>
    <col min="4616" max="4616" width="30.6640625" style="58" customWidth="1"/>
    <col min="4617" max="4617" width="2.33203125" style="58" customWidth="1"/>
    <col min="4618" max="4864" width="9.109375" style="58"/>
    <col min="4865" max="4865" width="5.44140625" style="58" customWidth="1"/>
    <col min="4866" max="4866" width="9.5546875" style="58" customWidth="1"/>
    <col min="4867" max="4867" width="0" style="58" hidden="1" customWidth="1"/>
    <col min="4868" max="4868" width="5.5546875" style="58" customWidth="1"/>
    <col min="4869" max="4871" width="14.6640625" style="58" customWidth="1"/>
    <col min="4872" max="4872" width="30.6640625" style="58" customWidth="1"/>
    <col min="4873" max="4873" width="2.33203125" style="58" customWidth="1"/>
    <col min="4874" max="5120" width="9.109375" style="58"/>
    <col min="5121" max="5121" width="5.44140625" style="58" customWidth="1"/>
    <col min="5122" max="5122" width="9.5546875" style="58" customWidth="1"/>
    <col min="5123" max="5123" width="0" style="58" hidden="1" customWidth="1"/>
    <col min="5124" max="5124" width="5.5546875" style="58" customWidth="1"/>
    <col min="5125" max="5127" width="14.6640625" style="58" customWidth="1"/>
    <col min="5128" max="5128" width="30.6640625" style="58" customWidth="1"/>
    <col min="5129" max="5129" width="2.33203125" style="58" customWidth="1"/>
    <col min="5130" max="5376" width="9.109375" style="58"/>
    <col min="5377" max="5377" width="5.44140625" style="58" customWidth="1"/>
    <col min="5378" max="5378" width="9.5546875" style="58" customWidth="1"/>
    <col min="5379" max="5379" width="0" style="58" hidden="1" customWidth="1"/>
    <col min="5380" max="5380" width="5.5546875" style="58" customWidth="1"/>
    <col min="5381" max="5383" width="14.6640625" style="58" customWidth="1"/>
    <col min="5384" max="5384" width="30.6640625" style="58" customWidth="1"/>
    <col min="5385" max="5385" width="2.33203125" style="58" customWidth="1"/>
    <col min="5386" max="5632" width="9.109375" style="58"/>
    <col min="5633" max="5633" width="5.44140625" style="58" customWidth="1"/>
    <col min="5634" max="5634" width="9.5546875" style="58" customWidth="1"/>
    <col min="5635" max="5635" width="0" style="58" hidden="1" customWidth="1"/>
    <col min="5636" max="5636" width="5.5546875" style="58" customWidth="1"/>
    <col min="5637" max="5639" width="14.6640625" style="58" customWidth="1"/>
    <col min="5640" max="5640" width="30.6640625" style="58" customWidth="1"/>
    <col min="5641" max="5641" width="2.33203125" style="58" customWidth="1"/>
    <col min="5642" max="5888" width="9.109375" style="58"/>
    <col min="5889" max="5889" width="5.44140625" style="58" customWidth="1"/>
    <col min="5890" max="5890" width="9.5546875" style="58" customWidth="1"/>
    <col min="5891" max="5891" width="0" style="58" hidden="1" customWidth="1"/>
    <col min="5892" max="5892" width="5.5546875" style="58" customWidth="1"/>
    <col min="5893" max="5895" width="14.6640625" style="58" customWidth="1"/>
    <col min="5896" max="5896" width="30.6640625" style="58" customWidth="1"/>
    <col min="5897" max="5897" width="2.33203125" style="58" customWidth="1"/>
    <col min="5898" max="6144" width="9.109375" style="58"/>
    <col min="6145" max="6145" width="5.44140625" style="58" customWidth="1"/>
    <col min="6146" max="6146" width="9.5546875" style="58" customWidth="1"/>
    <col min="6147" max="6147" width="0" style="58" hidden="1" customWidth="1"/>
    <col min="6148" max="6148" width="5.5546875" style="58" customWidth="1"/>
    <col min="6149" max="6151" width="14.6640625" style="58" customWidth="1"/>
    <col min="6152" max="6152" width="30.6640625" style="58" customWidth="1"/>
    <col min="6153" max="6153" width="2.33203125" style="58" customWidth="1"/>
    <col min="6154" max="6400" width="9.109375" style="58"/>
    <col min="6401" max="6401" width="5.44140625" style="58" customWidth="1"/>
    <col min="6402" max="6402" width="9.5546875" style="58" customWidth="1"/>
    <col min="6403" max="6403" width="0" style="58" hidden="1" customWidth="1"/>
    <col min="6404" max="6404" width="5.5546875" style="58" customWidth="1"/>
    <col min="6405" max="6407" width="14.6640625" style="58" customWidth="1"/>
    <col min="6408" max="6408" width="30.6640625" style="58" customWidth="1"/>
    <col min="6409" max="6409" width="2.33203125" style="58" customWidth="1"/>
    <col min="6410" max="6656" width="9.109375" style="58"/>
    <col min="6657" max="6657" width="5.44140625" style="58" customWidth="1"/>
    <col min="6658" max="6658" width="9.5546875" style="58" customWidth="1"/>
    <col min="6659" max="6659" width="0" style="58" hidden="1" customWidth="1"/>
    <col min="6660" max="6660" width="5.5546875" style="58" customWidth="1"/>
    <col min="6661" max="6663" width="14.6640625" style="58" customWidth="1"/>
    <col min="6664" max="6664" width="30.6640625" style="58" customWidth="1"/>
    <col min="6665" max="6665" width="2.33203125" style="58" customWidth="1"/>
    <col min="6666" max="6912" width="9.109375" style="58"/>
    <col min="6913" max="6913" width="5.44140625" style="58" customWidth="1"/>
    <col min="6914" max="6914" width="9.5546875" style="58" customWidth="1"/>
    <col min="6915" max="6915" width="0" style="58" hidden="1" customWidth="1"/>
    <col min="6916" max="6916" width="5.5546875" style="58" customWidth="1"/>
    <col min="6917" max="6919" width="14.6640625" style="58" customWidth="1"/>
    <col min="6920" max="6920" width="30.6640625" style="58" customWidth="1"/>
    <col min="6921" max="6921" width="2.33203125" style="58" customWidth="1"/>
    <col min="6922" max="7168" width="9.109375" style="58"/>
    <col min="7169" max="7169" width="5.44140625" style="58" customWidth="1"/>
    <col min="7170" max="7170" width="9.5546875" style="58" customWidth="1"/>
    <col min="7171" max="7171" width="0" style="58" hidden="1" customWidth="1"/>
    <col min="7172" max="7172" width="5.5546875" style="58" customWidth="1"/>
    <col min="7173" max="7175" width="14.6640625" style="58" customWidth="1"/>
    <col min="7176" max="7176" width="30.6640625" style="58" customWidth="1"/>
    <col min="7177" max="7177" width="2.33203125" style="58" customWidth="1"/>
    <col min="7178" max="7424" width="9.109375" style="58"/>
    <col min="7425" max="7425" width="5.44140625" style="58" customWidth="1"/>
    <col min="7426" max="7426" width="9.5546875" style="58" customWidth="1"/>
    <col min="7427" max="7427" width="0" style="58" hidden="1" customWidth="1"/>
    <col min="7428" max="7428" width="5.5546875" style="58" customWidth="1"/>
    <col min="7429" max="7431" width="14.6640625" style="58" customWidth="1"/>
    <col min="7432" max="7432" width="30.6640625" style="58" customWidth="1"/>
    <col min="7433" max="7433" width="2.33203125" style="58" customWidth="1"/>
    <col min="7434" max="7680" width="9.109375" style="58"/>
    <col min="7681" max="7681" width="5.44140625" style="58" customWidth="1"/>
    <col min="7682" max="7682" width="9.5546875" style="58" customWidth="1"/>
    <col min="7683" max="7683" width="0" style="58" hidden="1" customWidth="1"/>
    <col min="7684" max="7684" width="5.5546875" style="58" customWidth="1"/>
    <col min="7685" max="7687" width="14.6640625" style="58" customWidth="1"/>
    <col min="7688" max="7688" width="30.6640625" style="58" customWidth="1"/>
    <col min="7689" max="7689" width="2.33203125" style="58" customWidth="1"/>
    <col min="7690" max="7936" width="9.109375" style="58"/>
    <col min="7937" max="7937" width="5.44140625" style="58" customWidth="1"/>
    <col min="7938" max="7938" width="9.5546875" style="58" customWidth="1"/>
    <col min="7939" max="7939" width="0" style="58" hidden="1" customWidth="1"/>
    <col min="7940" max="7940" width="5.5546875" style="58" customWidth="1"/>
    <col min="7941" max="7943" width="14.6640625" style="58" customWidth="1"/>
    <col min="7944" max="7944" width="30.6640625" style="58" customWidth="1"/>
    <col min="7945" max="7945" width="2.33203125" style="58" customWidth="1"/>
    <col min="7946" max="8192" width="9.109375" style="58"/>
    <col min="8193" max="8193" width="5.44140625" style="58" customWidth="1"/>
    <col min="8194" max="8194" width="9.5546875" style="58" customWidth="1"/>
    <col min="8195" max="8195" width="0" style="58" hidden="1" customWidth="1"/>
    <col min="8196" max="8196" width="5.5546875" style="58" customWidth="1"/>
    <col min="8197" max="8199" width="14.6640625" style="58" customWidth="1"/>
    <col min="8200" max="8200" width="30.6640625" style="58" customWidth="1"/>
    <col min="8201" max="8201" width="2.33203125" style="58" customWidth="1"/>
    <col min="8202" max="8448" width="9.109375" style="58"/>
    <col min="8449" max="8449" width="5.44140625" style="58" customWidth="1"/>
    <col min="8450" max="8450" width="9.5546875" style="58" customWidth="1"/>
    <col min="8451" max="8451" width="0" style="58" hidden="1" customWidth="1"/>
    <col min="8452" max="8452" width="5.5546875" style="58" customWidth="1"/>
    <col min="8453" max="8455" width="14.6640625" style="58" customWidth="1"/>
    <col min="8456" max="8456" width="30.6640625" style="58" customWidth="1"/>
    <col min="8457" max="8457" width="2.33203125" style="58" customWidth="1"/>
    <col min="8458" max="8704" width="9.109375" style="58"/>
    <col min="8705" max="8705" width="5.44140625" style="58" customWidth="1"/>
    <col min="8706" max="8706" width="9.5546875" style="58" customWidth="1"/>
    <col min="8707" max="8707" width="0" style="58" hidden="1" customWidth="1"/>
    <col min="8708" max="8708" width="5.5546875" style="58" customWidth="1"/>
    <col min="8709" max="8711" width="14.6640625" style="58" customWidth="1"/>
    <col min="8712" max="8712" width="30.6640625" style="58" customWidth="1"/>
    <col min="8713" max="8713" width="2.33203125" style="58" customWidth="1"/>
    <col min="8714" max="8960" width="9.109375" style="58"/>
    <col min="8961" max="8961" width="5.44140625" style="58" customWidth="1"/>
    <col min="8962" max="8962" width="9.5546875" style="58" customWidth="1"/>
    <col min="8963" max="8963" width="0" style="58" hidden="1" customWidth="1"/>
    <col min="8964" max="8964" width="5.5546875" style="58" customWidth="1"/>
    <col min="8965" max="8967" width="14.6640625" style="58" customWidth="1"/>
    <col min="8968" max="8968" width="30.6640625" style="58" customWidth="1"/>
    <col min="8969" max="8969" width="2.33203125" style="58" customWidth="1"/>
    <col min="8970" max="9216" width="9.109375" style="58"/>
    <col min="9217" max="9217" width="5.44140625" style="58" customWidth="1"/>
    <col min="9218" max="9218" width="9.5546875" style="58" customWidth="1"/>
    <col min="9219" max="9219" width="0" style="58" hidden="1" customWidth="1"/>
    <col min="9220" max="9220" width="5.5546875" style="58" customWidth="1"/>
    <col min="9221" max="9223" width="14.6640625" style="58" customWidth="1"/>
    <col min="9224" max="9224" width="30.6640625" style="58" customWidth="1"/>
    <col min="9225" max="9225" width="2.33203125" style="58" customWidth="1"/>
    <col min="9226" max="9472" width="9.109375" style="58"/>
    <col min="9473" max="9473" width="5.44140625" style="58" customWidth="1"/>
    <col min="9474" max="9474" width="9.5546875" style="58" customWidth="1"/>
    <col min="9475" max="9475" width="0" style="58" hidden="1" customWidth="1"/>
    <col min="9476" max="9476" width="5.5546875" style="58" customWidth="1"/>
    <col min="9477" max="9479" width="14.6640625" style="58" customWidth="1"/>
    <col min="9480" max="9480" width="30.6640625" style="58" customWidth="1"/>
    <col min="9481" max="9481" width="2.33203125" style="58" customWidth="1"/>
    <col min="9482" max="9728" width="9.109375" style="58"/>
    <col min="9729" max="9729" width="5.44140625" style="58" customWidth="1"/>
    <col min="9730" max="9730" width="9.5546875" style="58" customWidth="1"/>
    <col min="9731" max="9731" width="0" style="58" hidden="1" customWidth="1"/>
    <col min="9732" max="9732" width="5.5546875" style="58" customWidth="1"/>
    <col min="9733" max="9735" width="14.6640625" style="58" customWidth="1"/>
    <col min="9736" max="9736" width="30.6640625" style="58" customWidth="1"/>
    <col min="9737" max="9737" width="2.33203125" style="58" customWidth="1"/>
    <col min="9738" max="9984" width="9.109375" style="58"/>
    <col min="9985" max="9985" width="5.44140625" style="58" customWidth="1"/>
    <col min="9986" max="9986" width="9.5546875" style="58" customWidth="1"/>
    <col min="9987" max="9987" width="0" style="58" hidden="1" customWidth="1"/>
    <col min="9988" max="9988" width="5.5546875" style="58" customWidth="1"/>
    <col min="9989" max="9991" width="14.6640625" style="58" customWidth="1"/>
    <col min="9992" max="9992" width="30.6640625" style="58" customWidth="1"/>
    <col min="9993" max="9993" width="2.33203125" style="58" customWidth="1"/>
    <col min="9994" max="10240" width="9.109375" style="58"/>
    <col min="10241" max="10241" width="5.44140625" style="58" customWidth="1"/>
    <col min="10242" max="10242" width="9.5546875" style="58" customWidth="1"/>
    <col min="10243" max="10243" width="0" style="58" hidden="1" customWidth="1"/>
    <col min="10244" max="10244" width="5.5546875" style="58" customWidth="1"/>
    <col min="10245" max="10247" width="14.6640625" style="58" customWidth="1"/>
    <col min="10248" max="10248" width="30.6640625" style="58" customWidth="1"/>
    <col min="10249" max="10249" width="2.33203125" style="58" customWidth="1"/>
    <col min="10250" max="10496" width="9.109375" style="58"/>
    <col min="10497" max="10497" width="5.44140625" style="58" customWidth="1"/>
    <col min="10498" max="10498" width="9.5546875" style="58" customWidth="1"/>
    <col min="10499" max="10499" width="0" style="58" hidden="1" customWidth="1"/>
    <col min="10500" max="10500" width="5.5546875" style="58" customWidth="1"/>
    <col min="10501" max="10503" width="14.6640625" style="58" customWidth="1"/>
    <col min="10504" max="10504" width="30.6640625" style="58" customWidth="1"/>
    <col min="10505" max="10505" width="2.33203125" style="58" customWidth="1"/>
    <col min="10506" max="10752" width="9.109375" style="58"/>
    <col min="10753" max="10753" width="5.44140625" style="58" customWidth="1"/>
    <col min="10754" max="10754" width="9.5546875" style="58" customWidth="1"/>
    <col min="10755" max="10755" width="0" style="58" hidden="1" customWidth="1"/>
    <col min="10756" max="10756" width="5.5546875" style="58" customWidth="1"/>
    <col min="10757" max="10759" width="14.6640625" style="58" customWidth="1"/>
    <col min="10760" max="10760" width="30.6640625" style="58" customWidth="1"/>
    <col min="10761" max="10761" width="2.33203125" style="58" customWidth="1"/>
    <col min="10762" max="11008" width="9.109375" style="58"/>
    <col min="11009" max="11009" width="5.44140625" style="58" customWidth="1"/>
    <col min="11010" max="11010" width="9.5546875" style="58" customWidth="1"/>
    <col min="11011" max="11011" width="0" style="58" hidden="1" customWidth="1"/>
    <col min="11012" max="11012" width="5.5546875" style="58" customWidth="1"/>
    <col min="11013" max="11015" width="14.6640625" style="58" customWidth="1"/>
    <col min="11016" max="11016" width="30.6640625" style="58" customWidth="1"/>
    <col min="11017" max="11017" width="2.33203125" style="58" customWidth="1"/>
    <col min="11018" max="11264" width="9.109375" style="58"/>
    <col min="11265" max="11265" width="5.44140625" style="58" customWidth="1"/>
    <col min="11266" max="11266" width="9.5546875" style="58" customWidth="1"/>
    <col min="11267" max="11267" width="0" style="58" hidden="1" customWidth="1"/>
    <col min="11268" max="11268" width="5.5546875" style="58" customWidth="1"/>
    <col min="11269" max="11271" width="14.6640625" style="58" customWidth="1"/>
    <col min="11272" max="11272" width="30.6640625" style="58" customWidth="1"/>
    <col min="11273" max="11273" width="2.33203125" style="58" customWidth="1"/>
    <col min="11274" max="11520" width="9.109375" style="58"/>
    <col min="11521" max="11521" width="5.44140625" style="58" customWidth="1"/>
    <col min="11522" max="11522" width="9.5546875" style="58" customWidth="1"/>
    <col min="11523" max="11523" width="0" style="58" hidden="1" customWidth="1"/>
    <col min="11524" max="11524" width="5.5546875" style="58" customWidth="1"/>
    <col min="11525" max="11527" width="14.6640625" style="58" customWidth="1"/>
    <col min="11528" max="11528" width="30.6640625" style="58" customWidth="1"/>
    <col min="11529" max="11529" width="2.33203125" style="58" customWidth="1"/>
    <col min="11530" max="11776" width="9.109375" style="58"/>
    <col min="11777" max="11777" width="5.44140625" style="58" customWidth="1"/>
    <col min="11778" max="11778" width="9.5546875" style="58" customWidth="1"/>
    <col min="11779" max="11779" width="0" style="58" hidden="1" customWidth="1"/>
    <col min="11780" max="11780" width="5.5546875" style="58" customWidth="1"/>
    <col min="11781" max="11783" width="14.6640625" style="58" customWidth="1"/>
    <col min="11784" max="11784" width="30.6640625" style="58" customWidth="1"/>
    <col min="11785" max="11785" width="2.33203125" style="58" customWidth="1"/>
    <col min="11786" max="12032" width="9.109375" style="58"/>
    <col min="12033" max="12033" width="5.44140625" style="58" customWidth="1"/>
    <col min="12034" max="12034" width="9.5546875" style="58" customWidth="1"/>
    <col min="12035" max="12035" width="0" style="58" hidden="1" customWidth="1"/>
    <col min="12036" max="12036" width="5.5546875" style="58" customWidth="1"/>
    <col min="12037" max="12039" width="14.6640625" style="58" customWidth="1"/>
    <col min="12040" max="12040" width="30.6640625" style="58" customWidth="1"/>
    <col min="12041" max="12041" width="2.33203125" style="58" customWidth="1"/>
    <col min="12042" max="12288" width="9.109375" style="58"/>
    <col min="12289" max="12289" width="5.44140625" style="58" customWidth="1"/>
    <col min="12290" max="12290" width="9.5546875" style="58" customWidth="1"/>
    <col min="12291" max="12291" width="0" style="58" hidden="1" customWidth="1"/>
    <col min="12292" max="12292" width="5.5546875" style="58" customWidth="1"/>
    <col min="12293" max="12295" width="14.6640625" style="58" customWidth="1"/>
    <col min="12296" max="12296" width="30.6640625" style="58" customWidth="1"/>
    <col min="12297" max="12297" width="2.33203125" style="58" customWidth="1"/>
    <col min="12298" max="12544" width="9.109375" style="58"/>
    <col min="12545" max="12545" width="5.44140625" style="58" customWidth="1"/>
    <col min="12546" max="12546" width="9.5546875" style="58" customWidth="1"/>
    <col min="12547" max="12547" width="0" style="58" hidden="1" customWidth="1"/>
    <col min="12548" max="12548" width="5.5546875" style="58" customWidth="1"/>
    <col min="12549" max="12551" width="14.6640625" style="58" customWidth="1"/>
    <col min="12552" max="12552" width="30.6640625" style="58" customWidth="1"/>
    <col min="12553" max="12553" width="2.33203125" style="58" customWidth="1"/>
    <col min="12554" max="12800" width="9.109375" style="58"/>
    <col min="12801" max="12801" width="5.44140625" style="58" customWidth="1"/>
    <col min="12802" max="12802" width="9.5546875" style="58" customWidth="1"/>
    <col min="12803" max="12803" width="0" style="58" hidden="1" customWidth="1"/>
    <col min="12804" max="12804" width="5.5546875" style="58" customWidth="1"/>
    <col min="12805" max="12807" width="14.6640625" style="58" customWidth="1"/>
    <col min="12808" max="12808" width="30.6640625" style="58" customWidth="1"/>
    <col min="12809" max="12809" width="2.33203125" style="58" customWidth="1"/>
    <col min="12810" max="13056" width="9.109375" style="58"/>
    <col min="13057" max="13057" width="5.44140625" style="58" customWidth="1"/>
    <col min="13058" max="13058" width="9.5546875" style="58" customWidth="1"/>
    <col min="13059" max="13059" width="0" style="58" hidden="1" customWidth="1"/>
    <col min="13060" max="13060" width="5.5546875" style="58" customWidth="1"/>
    <col min="13061" max="13063" width="14.6640625" style="58" customWidth="1"/>
    <col min="13064" max="13064" width="30.6640625" style="58" customWidth="1"/>
    <col min="13065" max="13065" width="2.33203125" style="58" customWidth="1"/>
    <col min="13066" max="13312" width="9.109375" style="58"/>
    <col min="13313" max="13313" width="5.44140625" style="58" customWidth="1"/>
    <col min="13314" max="13314" width="9.5546875" style="58" customWidth="1"/>
    <col min="13315" max="13315" width="0" style="58" hidden="1" customWidth="1"/>
    <col min="13316" max="13316" width="5.5546875" style="58" customWidth="1"/>
    <col min="13317" max="13319" width="14.6640625" style="58" customWidth="1"/>
    <col min="13320" max="13320" width="30.6640625" style="58" customWidth="1"/>
    <col min="13321" max="13321" width="2.33203125" style="58" customWidth="1"/>
    <col min="13322" max="13568" width="9.109375" style="58"/>
    <col min="13569" max="13569" width="5.44140625" style="58" customWidth="1"/>
    <col min="13570" max="13570" width="9.5546875" style="58" customWidth="1"/>
    <col min="13571" max="13571" width="0" style="58" hidden="1" customWidth="1"/>
    <col min="13572" max="13572" width="5.5546875" style="58" customWidth="1"/>
    <col min="13573" max="13575" width="14.6640625" style="58" customWidth="1"/>
    <col min="13576" max="13576" width="30.6640625" style="58" customWidth="1"/>
    <col min="13577" max="13577" width="2.33203125" style="58" customWidth="1"/>
    <col min="13578" max="13824" width="9.109375" style="58"/>
    <col min="13825" max="13825" width="5.44140625" style="58" customWidth="1"/>
    <col min="13826" max="13826" width="9.5546875" style="58" customWidth="1"/>
    <col min="13827" max="13827" width="0" style="58" hidden="1" customWidth="1"/>
    <col min="13828" max="13828" width="5.5546875" style="58" customWidth="1"/>
    <col min="13829" max="13831" width="14.6640625" style="58" customWidth="1"/>
    <col min="13832" max="13832" width="30.6640625" style="58" customWidth="1"/>
    <col min="13833" max="13833" width="2.33203125" style="58" customWidth="1"/>
    <col min="13834" max="14080" width="9.109375" style="58"/>
    <col min="14081" max="14081" width="5.44140625" style="58" customWidth="1"/>
    <col min="14082" max="14082" width="9.5546875" style="58" customWidth="1"/>
    <col min="14083" max="14083" width="0" style="58" hidden="1" customWidth="1"/>
    <col min="14084" max="14084" width="5.5546875" style="58" customWidth="1"/>
    <col min="14085" max="14087" width="14.6640625" style="58" customWidth="1"/>
    <col min="14088" max="14088" width="30.6640625" style="58" customWidth="1"/>
    <col min="14089" max="14089" width="2.33203125" style="58" customWidth="1"/>
    <col min="14090" max="14336" width="9.109375" style="58"/>
    <col min="14337" max="14337" width="5.44140625" style="58" customWidth="1"/>
    <col min="14338" max="14338" width="9.5546875" style="58" customWidth="1"/>
    <col min="14339" max="14339" width="0" style="58" hidden="1" customWidth="1"/>
    <col min="14340" max="14340" width="5.5546875" style="58" customWidth="1"/>
    <col min="14341" max="14343" width="14.6640625" style="58" customWidth="1"/>
    <col min="14344" max="14344" width="30.6640625" style="58" customWidth="1"/>
    <col min="14345" max="14345" width="2.33203125" style="58" customWidth="1"/>
    <col min="14346" max="14592" width="9.109375" style="58"/>
    <col min="14593" max="14593" width="5.44140625" style="58" customWidth="1"/>
    <col min="14594" max="14594" width="9.5546875" style="58" customWidth="1"/>
    <col min="14595" max="14595" width="0" style="58" hidden="1" customWidth="1"/>
    <col min="14596" max="14596" width="5.5546875" style="58" customWidth="1"/>
    <col min="14597" max="14599" width="14.6640625" style="58" customWidth="1"/>
    <col min="14600" max="14600" width="30.6640625" style="58" customWidth="1"/>
    <col min="14601" max="14601" width="2.33203125" style="58" customWidth="1"/>
    <col min="14602" max="14848" width="9.109375" style="58"/>
    <col min="14849" max="14849" width="5.44140625" style="58" customWidth="1"/>
    <col min="14850" max="14850" width="9.5546875" style="58" customWidth="1"/>
    <col min="14851" max="14851" width="0" style="58" hidden="1" customWidth="1"/>
    <col min="14852" max="14852" width="5.5546875" style="58" customWidth="1"/>
    <col min="14853" max="14855" width="14.6640625" style="58" customWidth="1"/>
    <col min="14856" max="14856" width="30.6640625" style="58" customWidth="1"/>
    <col min="14857" max="14857" width="2.33203125" style="58" customWidth="1"/>
    <col min="14858" max="15104" width="9.109375" style="58"/>
    <col min="15105" max="15105" width="5.44140625" style="58" customWidth="1"/>
    <col min="15106" max="15106" width="9.5546875" style="58" customWidth="1"/>
    <col min="15107" max="15107" width="0" style="58" hidden="1" customWidth="1"/>
    <col min="15108" max="15108" width="5.5546875" style="58" customWidth="1"/>
    <col min="15109" max="15111" width="14.6640625" style="58" customWidth="1"/>
    <col min="15112" max="15112" width="30.6640625" style="58" customWidth="1"/>
    <col min="15113" max="15113" width="2.33203125" style="58" customWidth="1"/>
    <col min="15114" max="15360" width="9.109375" style="58"/>
    <col min="15361" max="15361" width="5.44140625" style="58" customWidth="1"/>
    <col min="15362" max="15362" width="9.5546875" style="58" customWidth="1"/>
    <col min="15363" max="15363" width="0" style="58" hidden="1" customWidth="1"/>
    <col min="15364" max="15364" width="5.5546875" style="58" customWidth="1"/>
    <col min="15365" max="15367" width="14.6640625" style="58" customWidth="1"/>
    <col min="15368" max="15368" width="30.6640625" style="58" customWidth="1"/>
    <col min="15369" max="15369" width="2.33203125" style="58" customWidth="1"/>
    <col min="15370" max="15616" width="9.109375" style="58"/>
    <col min="15617" max="15617" width="5.44140625" style="58" customWidth="1"/>
    <col min="15618" max="15618" width="9.5546875" style="58" customWidth="1"/>
    <col min="15619" max="15619" width="0" style="58" hidden="1" customWidth="1"/>
    <col min="15620" max="15620" width="5.5546875" style="58" customWidth="1"/>
    <col min="15621" max="15623" width="14.6640625" style="58" customWidth="1"/>
    <col min="15624" max="15624" width="30.6640625" style="58" customWidth="1"/>
    <col min="15625" max="15625" width="2.33203125" style="58" customWidth="1"/>
    <col min="15626" max="15872" width="9.109375" style="58"/>
    <col min="15873" max="15873" width="5.44140625" style="58" customWidth="1"/>
    <col min="15874" max="15874" width="9.5546875" style="58" customWidth="1"/>
    <col min="15875" max="15875" width="0" style="58" hidden="1" customWidth="1"/>
    <col min="15876" max="15876" width="5.5546875" style="58" customWidth="1"/>
    <col min="15877" max="15879" width="14.6640625" style="58" customWidth="1"/>
    <col min="15880" max="15880" width="30.6640625" style="58" customWidth="1"/>
    <col min="15881" max="15881" width="2.33203125" style="58" customWidth="1"/>
    <col min="15882" max="16128" width="9.109375" style="58"/>
    <col min="16129" max="16129" width="5.44140625" style="58" customWidth="1"/>
    <col min="16130" max="16130" width="9.5546875" style="58" customWidth="1"/>
    <col min="16131" max="16131" width="0" style="58" hidden="1" customWidth="1"/>
    <col min="16132" max="16132" width="5.5546875" style="58" customWidth="1"/>
    <col min="16133" max="16135" width="14.6640625" style="58" customWidth="1"/>
    <col min="16136" max="16136" width="30.6640625" style="58" customWidth="1"/>
    <col min="16137" max="16137" width="2.33203125" style="58" customWidth="1"/>
    <col min="16138" max="16384" width="9.109375" style="58"/>
  </cols>
  <sheetData>
    <row r="1" spans="1:11" ht="18.75" customHeight="1" x14ac:dyDescent="0.3">
      <c r="A1" s="57"/>
    </row>
    <row r="2" spans="1:11" ht="24" customHeight="1" x14ac:dyDescent="0.25">
      <c r="K2" s="59" t="s">
        <v>273</v>
      </c>
    </row>
    <row r="3" spans="1:11" ht="10.5" customHeight="1" x14ac:dyDescent="0.25">
      <c r="A3" s="60" t="s">
        <v>274</v>
      </c>
      <c r="K3" s="59" t="s">
        <v>275</v>
      </c>
    </row>
    <row r="4" spans="1:11" ht="10.5" customHeight="1" x14ac:dyDescent="0.25">
      <c r="A4" s="61" t="s">
        <v>276</v>
      </c>
      <c r="B4" s="62"/>
      <c r="C4" s="62"/>
      <c r="K4" s="59" t="s">
        <v>277</v>
      </c>
    </row>
    <row r="5" spans="1:11" ht="10.5" customHeight="1" x14ac:dyDescent="0.25">
      <c r="A5" s="61" t="s">
        <v>278</v>
      </c>
      <c r="B5" s="62"/>
      <c r="C5" s="62"/>
      <c r="K5" s="59" t="s">
        <v>279</v>
      </c>
    </row>
    <row r="6" spans="1:11" ht="10.5" customHeight="1" x14ac:dyDescent="0.25">
      <c r="A6" s="63" t="s">
        <v>281</v>
      </c>
      <c r="B6" s="62"/>
      <c r="C6" s="62"/>
      <c r="K6" s="59" t="s">
        <v>280</v>
      </c>
    </row>
    <row r="7" spans="1:11" ht="10.5" customHeight="1" x14ac:dyDescent="0.25">
      <c r="A7" s="63"/>
      <c r="B7" s="62"/>
      <c r="C7" s="62"/>
      <c r="K7" s="59">
        <v>1</v>
      </c>
    </row>
    <row r="8" spans="1:11" ht="10.5" customHeight="1" x14ac:dyDescent="0.25">
      <c r="A8" s="63"/>
      <c r="B8" s="62"/>
      <c r="C8" s="62"/>
      <c r="K8" s="59"/>
    </row>
    <row r="9" spans="1:11" x14ac:dyDescent="0.25">
      <c r="D9" s="64" t="s">
        <v>282</v>
      </c>
      <c r="E9" s="64">
        <v>9561</v>
      </c>
      <c r="F9" s="64">
        <v>0</v>
      </c>
      <c r="G9" s="65"/>
      <c r="H9" s="65"/>
      <c r="K9" s="66" t="s">
        <v>283</v>
      </c>
    </row>
    <row r="10" spans="1:11" ht="18.899999999999999" customHeight="1" x14ac:dyDescent="0.25">
      <c r="D10" s="64"/>
      <c r="E10" s="64"/>
      <c r="F10" s="64"/>
      <c r="G10" s="67"/>
      <c r="H10" s="68" t="str">
        <f ca="1">OFFSET(K1,K7,0)</f>
        <v>SEZNAM</v>
      </c>
      <c r="K10" s="66"/>
    </row>
    <row r="11" spans="1:11" x14ac:dyDescent="0.25">
      <c r="A11" s="69" t="s">
        <v>284</v>
      </c>
      <c r="B11" s="70"/>
      <c r="C11" s="71" t="str">
        <f>CDOK1&amp;CDOK2&amp;" rev. "&amp;REV</f>
        <v>TP-N-9561 rev. 0</v>
      </c>
      <c r="D11" s="71" t="s">
        <v>343</v>
      </c>
      <c r="E11" s="72"/>
      <c r="F11" s="72"/>
      <c r="G11" s="72"/>
      <c r="H11" s="72"/>
    </row>
    <row r="12" spans="1:11" x14ac:dyDescent="0.25">
      <c r="A12" s="73" t="s">
        <v>285</v>
      </c>
      <c r="B12" s="70"/>
      <c r="C12" s="72" t="s">
        <v>286</v>
      </c>
      <c r="D12" s="72" t="s">
        <v>342</v>
      </c>
      <c r="E12" s="72"/>
      <c r="F12" s="72"/>
      <c r="G12" s="72"/>
      <c r="H12" s="72"/>
      <c r="I12" s="103" t="s">
        <v>287</v>
      </c>
    </row>
    <row r="13" spans="1:11" x14ac:dyDescent="0.25">
      <c r="A13" s="73" t="s">
        <v>288</v>
      </c>
      <c r="B13" s="70"/>
      <c r="C13" s="74" t="s">
        <v>289</v>
      </c>
      <c r="D13" s="72" t="s">
        <v>290</v>
      </c>
      <c r="E13" s="72"/>
      <c r="F13" s="72"/>
      <c r="G13" s="72"/>
      <c r="H13" s="72"/>
      <c r="I13" s="103"/>
      <c r="K13" s="58" t="s">
        <v>291</v>
      </c>
    </row>
    <row r="14" spans="1:11" x14ac:dyDescent="0.25">
      <c r="A14" s="73"/>
      <c r="B14" s="70"/>
      <c r="C14" s="74"/>
      <c r="D14" s="72"/>
      <c r="E14" s="72"/>
      <c r="F14" s="72"/>
      <c r="G14" s="72"/>
      <c r="H14" s="72"/>
      <c r="I14" s="103"/>
    </row>
    <row r="15" spans="1:11" x14ac:dyDescent="0.25">
      <c r="A15" s="70"/>
      <c r="B15" s="70"/>
      <c r="C15" s="75"/>
      <c r="D15" s="76"/>
      <c r="E15" s="72"/>
      <c r="F15" s="72"/>
      <c r="G15" s="77"/>
      <c r="H15" s="78" t="str">
        <f ca="1">OFFSET(K17,K15,0)</f>
        <v>INTERNAL</v>
      </c>
      <c r="I15" s="103"/>
      <c r="K15" s="58">
        <v>2</v>
      </c>
    </row>
    <row r="16" spans="1:11" ht="7.5" customHeight="1" x14ac:dyDescent="0.25">
      <c r="A16" s="70"/>
      <c r="B16" s="70"/>
      <c r="C16" s="70"/>
      <c r="D16" s="70"/>
      <c r="E16" s="70"/>
      <c r="F16" s="70"/>
      <c r="G16" s="70"/>
      <c r="H16" s="70"/>
      <c r="I16" s="103"/>
    </row>
    <row r="17" spans="1:11" ht="5.25" customHeight="1" x14ac:dyDescent="0.25">
      <c r="I17" s="103"/>
    </row>
    <row r="18" spans="1:11" ht="17.100000000000001" customHeight="1" x14ac:dyDescent="0.25">
      <c r="A18" s="79" t="s">
        <v>292</v>
      </c>
      <c r="C18" s="80" t="s">
        <v>293</v>
      </c>
      <c r="D18" s="81" t="s">
        <v>294</v>
      </c>
      <c r="E18" s="82"/>
      <c r="F18" s="82"/>
      <c r="G18" s="82"/>
      <c r="H18" s="82"/>
      <c r="I18" s="103"/>
      <c r="K18" s="59" t="s">
        <v>295</v>
      </c>
    </row>
    <row r="19" spans="1:11" ht="17.100000000000001" customHeight="1" x14ac:dyDescent="0.25">
      <c r="A19" s="79" t="s">
        <v>296</v>
      </c>
      <c r="C19" s="83" t="s">
        <v>297</v>
      </c>
      <c r="D19" s="84" t="s">
        <v>298</v>
      </c>
      <c r="E19" s="84"/>
      <c r="F19" s="84"/>
      <c r="G19" s="84"/>
      <c r="H19" s="84"/>
      <c r="I19" s="103"/>
      <c r="K19" s="59" t="s">
        <v>299</v>
      </c>
    </row>
    <row r="20" spans="1:11" ht="17.100000000000001" customHeight="1" x14ac:dyDescent="0.25">
      <c r="A20" s="79" t="s">
        <v>300</v>
      </c>
      <c r="C20" s="83" t="s">
        <v>301</v>
      </c>
      <c r="D20" s="84" t="s">
        <v>302</v>
      </c>
      <c r="E20" s="84"/>
      <c r="F20" s="84"/>
      <c r="G20" s="84"/>
      <c r="H20" s="84"/>
      <c r="I20" s="103"/>
      <c r="K20" s="59" t="s">
        <v>303</v>
      </c>
    </row>
    <row r="21" spans="1:11" ht="17.100000000000001" customHeight="1" x14ac:dyDescent="0.25">
      <c r="A21" s="79" t="s">
        <v>304</v>
      </c>
      <c r="C21" s="83"/>
      <c r="D21" s="84" t="s">
        <v>341</v>
      </c>
      <c r="E21" s="84"/>
      <c r="F21" s="84"/>
      <c r="G21" s="84"/>
      <c r="H21" s="84"/>
      <c r="I21" s="103"/>
      <c r="K21" s="59" t="s">
        <v>305</v>
      </c>
    </row>
    <row r="22" spans="1:11" ht="14.25" customHeight="1" x14ac:dyDescent="0.25">
      <c r="A22" s="79" t="s">
        <v>306</v>
      </c>
      <c r="B22" s="85"/>
      <c r="C22" s="85"/>
      <c r="D22" s="84" t="s">
        <v>339</v>
      </c>
      <c r="E22" s="85"/>
      <c r="F22" s="85"/>
      <c r="G22" s="85"/>
      <c r="H22" s="85"/>
      <c r="I22" s="103"/>
    </row>
    <row r="23" spans="1:11" ht="14.25" customHeight="1" x14ac:dyDescent="0.25">
      <c r="A23" s="85"/>
      <c r="B23" s="85"/>
      <c r="C23" s="85"/>
      <c r="D23" s="84" t="s">
        <v>338</v>
      </c>
      <c r="E23" s="85"/>
      <c r="F23" s="85"/>
      <c r="G23" s="85"/>
      <c r="H23" s="85"/>
      <c r="I23" s="103"/>
    </row>
    <row r="24" spans="1:11" ht="14.25" customHeight="1" x14ac:dyDescent="0.25">
      <c r="A24" s="85"/>
      <c r="B24" s="85"/>
      <c r="C24" s="85"/>
      <c r="D24" s="85"/>
      <c r="E24" s="85"/>
      <c r="F24" s="85"/>
      <c r="G24" s="85"/>
      <c r="H24" s="85"/>
      <c r="I24" s="103"/>
    </row>
    <row r="25" spans="1:11" ht="14.25" customHeight="1" x14ac:dyDescent="0.25">
      <c r="A25" s="85"/>
      <c r="B25" s="85"/>
      <c r="C25" s="85"/>
      <c r="D25" s="85"/>
      <c r="E25" s="85"/>
      <c r="F25" s="85"/>
      <c r="G25" s="85"/>
      <c r="H25" s="85"/>
      <c r="I25" s="103"/>
    </row>
    <row r="26" spans="1:11" ht="14.25" customHeight="1" x14ac:dyDescent="0.25">
      <c r="A26" s="85"/>
      <c r="B26" s="85"/>
      <c r="C26" s="85"/>
      <c r="D26" s="85"/>
      <c r="E26" s="85"/>
      <c r="F26" s="85"/>
      <c r="G26" s="85"/>
      <c r="H26" s="85"/>
      <c r="I26" s="103"/>
    </row>
    <row r="27" spans="1:11" ht="14.25" customHeight="1" x14ac:dyDescent="0.25">
      <c r="A27" s="85"/>
      <c r="B27" s="85"/>
      <c r="C27" s="85"/>
      <c r="D27" s="85"/>
      <c r="E27" s="85"/>
      <c r="F27" s="85"/>
      <c r="G27" s="85"/>
      <c r="H27" s="85"/>
      <c r="I27" s="103"/>
    </row>
    <row r="28" spans="1:11" ht="14.25" customHeight="1" x14ac:dyDescent="0.25">
      <c r="A28" s="85"/>
      <c r="B28" s="85"/>
      <c r="C28" s="85"/>
      <c r="D28" s="85"/>
      <c r="E28" s="85"/>
      <c r="F28" s="85"/>
      <c r="G28" s="85"/>
      <c r="H28" s="85"/>
      <c r="I28" s="103"/>
    </row>
    <row r="29" spans="1:11" ht="14.25" customHeight="1" x14ac:dyDescent="0.25">
      <c r="A29" s="85"/>
      <c r="B29" s="85"/>
      <c r="C29" s="85"/>
      <c r="D29" s="85"/>
      <c r="E29" s="85"/>
      <c r="F29" s="85"/>
      <c r="G29" s="85"/>
      <c r="H29" s="85"/>
      <c r="I29" s="103"/>
    </row>
    <row r="30" spans="1:11" ht="14.25" customHeight="1" x14ac:dyDescent="0.25">
      <c r="A30" s="85"/>
      <c r="B30" s="85"/>
      <c r="C30" s="85"/>
      <c r="D30" s="85"/>
      <c r="E30" s="85"/>
      <c r="F30" s="85"/>
      <c r="G30" s="85"/>
      <c r="H30" s="85"/>
      <c r="I30" s="103"/>
    </row>
    <row r="31" spans="1:11" ht="14.25" customHeight="1" x14ac:dyDescent="0.25">
      <c r="A31" s="85"/>
      <c r="B31" s="85"/>
      <c r="C31" s="85"/>
      <c r="D31" s="85"/>
      <c r="E31" s="85"/>
      <c r="F31" s="85"/>
      <c r="G31" s="85"/>
      <c r="H31" s="85"/>
      <c r="I31" s="103"/>
    </row>
    <row r="32" spans="1:11" ht="14.25" customHeight="1" x14ac:dyDescent="0.25">
      <c r="A32" s="85"/>
      <c r="B32" s="85"/>
      <c r="C32" s="85"/>
      <c r="D32" s="85"/>
      <c r="E32" s="85"/>
      <c r="F32" s="85"/>
      <c r="G32" s="85"/>
      <c r="H32" s="85"/>
      <c r="I32" s="103"/>
    </row>
    <row r="33" spans="1:12" ht="14.25" customHeight="1" x14ac:dyDescent="0.25">
      <c r="A33" s="85"/>
      <c r="B33" s="85"/>
      <c r="C33" s="85"/>
      <c r="D33" s="85"/>
      <c r="E33" s="85"/>
      <c r="F33" s="85"/>
      <c r="G33" s="85"/>
      <c r="H33" s="85"/>
      <c r="I33" s="103"/>
    </row>
    <row r="34" spans="1:12" ht="14.25" customHeight="1" x14ac:dyDescent="0.25">
      <c r="A34" s="85"/>
      <c r="B34" s="85"/>
      <c r="C34" s="85"/>
      <c r="D34" s="85"/>
      <c r="E34" s="85"/>
      <c r="F34" s="85"/>
      <c r="G34" s="85"/>
      <c r="H34" s="85"/>
      <c r="I34" s="103"/>
    </row>
    <row r="35" spans="1:12" ht="14.25" customHeight="1" x14ac:dyDescent="0.25">
      <c r="A35" s="85"/>
      <c r="B35" s="85"/>
      <c r="C35" s="85"/>
      <c r="D35" s="85"/>
      <c r="E35" s="85"/>
      <c r="F35" s="85"/>
      <c r="G35" s="85"/>
      <c r="H35" s="85"/>
      <c r="I35" s="103"/>
    </row>
    <row r="36" spans="1:12" ht="14.25" customHeight="1" x14ac:dyDescent="0.25">
      <c r="A36" s="85"/>
      <c r="B36" s="85"/>
      <c r="C36" s="85"/>
      <c r="D36" s="85"/>
      <c r="E36" s="85"/>
      <c r="F36" s="85"/>
      <c r="G36" s="85"/>
      <c r="H36" s="85"/>
      <c r="I36" s="103"/>
    </row>
    <row r="37" spans="1:12" ht="14.25" customHeight="1" x14ac:dyDescent="0.25">
      <c r="A37" s="85"/>
      <c r="B37" s="85"/>
      <c r="C37" s="85"/>
      <c r="D37" s="85"/>
      <c r="E37" s="85"/>
      <c r="F37" s="85"/>
      <c r="G37" s="85"/>
      <c r="H37" s="85"/>
      <c r="I37" s="103"/>
    </row>
    <row r="38" spans="1:12" ht="14.25" customHeight="1" x14ac:dyDescent="0.25">
      <c r="A38" s="85"/>
      <c r="B38" s="85"/>
      <c r="C38" s="85"/>
      <c r="D38" s="85"/>
      <c r="E38" s="85"/>
      <c r="F38" s="85"/>
      <c r="G38" s="85"/>
      <c r="H38" s="85"/>
      <c r="I38" s="103"/>
    </row>
    <row r="39" spans="1:12" ht="14.25" customHeight="1" x14ac:dyDescent="0.25">
      <c r="A39" s="85"/>
      <c r="B39" s="85"/>
      <c r="C39" s="85"/>
      <c r="D39" s="85"/>
      <c r="E39" s="85"/>
      <c r="F39" s="85"/>
      <c r="G39" s="85"/>
      <c r="H39" s="85"/>
      <c r="I39" s="103"/>
    </row>
    <row r="40" spans="1:12" ht="14.25" customHeight="1" x14ac:dyDescent="0.25">
      <c r="A40" s="85"/>
      <c r="B40" s="85"/>
      <c r="C40" s="85"/>
      <c r="D40" s="85"/>
      <c r="E40" s="85"/>
      <c r="F40" s="85"/>
      <c r="G40" s="85"/>
      <c r="H40" s="85"/>
      <c r="I40" s="103"/>
    </row>
    <row r="41" spans="1:12" ht="14.25" customHeight="1" x14ac:dyDescent="0.25">
      <c r="A41" s="85"/>
      <c r="B41" s="85"/>
      <c r="C41" s="85"/>
      <c r="D41" s="85"/>
      <c r="E41" s="85"/>
      <c r="F41" s="85"/>
      <c r="G41" s="85"/>
      <c r="H41" s="85"/>
      <c r="I41" s="103"/>
    </row>
    <row r="42" spans="1:12" ht="14.25" customHeight="1" x14ac:dyDescent="0.25">
      <c r="A42" s="85"/>
      <c r="B42" s="85"/>
      <c r="C42" s="85"/>
      <c r="D42" s="85"/>
      <c r="E42" s="85"/>
      <c r="F42" s="85"/>
      <c r="G42" s="85"/>
      <c r="H42" s="85"/>
      <c r="I42" s="103"/>
    </row>
    <row r="43" spans="1:12" ht="14.25" customHeight="1" x14ac:dyDescent="0.25">
      <c r="A43" s="85"/>
      <c r="B43" s="85"/>
      <c r="C43" s="85"/>
      <c r="D43" s="85"/>
      <c r="E43" s="85"/>
      <c r="F43" s="85"/>
      <c r="G43" s="85"/>
      <c r="H43" s="85"/>
      <c r="I43" s="103"/>
    </row>
    <row r="44" spans="1:12" ht="14.25" customHeight="1" x14ac:dyDescent="0.25">
      <c r="A44" s="85"/>
      <c r="B44" s="85"/>
      <c r="C44" s="85"/>
      <c r="D44" s="85"/>
      <c r="E44" s="85"/>
      <c r="F44" s="85"/>
      <c r="G44" s="85"/>
      <c r="H44" s="85"/>
      <c r="I44" s="103"/>
      <c r="K44" s="86" t="s">
        <v>307</v>
      </c>
      <c r="L44" s="59" t="s">
        <v>308</v>
      </c>
    </row>
    <row r="45" spans="1:12" ht="14.25" customHeight="1" x14ac:dyDescent="0.25">
      <c r="A45" s="85"/>
      <c r="B45" s="85"/>
      <c r="C45" s="85"/>
      <c r="D45" s="85"/>
      <c r="E45" s="85"/>
      <c r="F45" s="85"/>
      <c r="G45" s="85"/>
      <c r="H45" s="85"/>
      <c r="I45" s="103"/>
      <c r="K45" s="59" t="s">
        <v>309</v>
      </c>
    </row>
    <row r="46" spans="1:12" ht="14.25" customHeight="1" x14ac:dyDescent="0.25">
      <c r="A46" s="85"/>
      <c r="B46" s="85"/>
      <c r="C46" s="85"/>
      <c r="D46" s="85"/>
      <c r="E46" s="85"/>
      <c r="F46" s="85"/>
      <c r="G46" s="85"/>
      <c r="H46" s="85"/>
      <c r="I46" s="103"/>
      <c r="K46" s="59" t="s">
        <v>310</v>
      </c>
    </row>
    <row r="47" spans="1:12" ht="14.25" customHeight="1" x14ac:dyDescent="0.25">
      <c r="A47" s="85"/>
      <c r="B47" s="85"/>
      <c r="C47" s="85"/>
      <c r="D47" s="85"/>
      <c r="E47" s="85"/>
      <c r="F47" s="85"/>
      <c r="G47" s="85"/>
      <c r="H47" s="85"/>
      <c r="I47" s="103"/>
      <c r="K47" s="59" t="s">
        <v>311</v>
      </c>
    </row>
    <row r="48" spans="1:12" ht="14.25" customHeight="1" x14ac:dyDescent="0.25">
      <c r="A48" s="85"/>
      <c r="B48" s="85"/>
      <c r="C48" s="85"/>
      <c r="D48" s="85"/>
      <c r="E48" s="85"/>
      <c r="F48" s="85"/>
      <c r="G48" s="85"/>
      <c r="H48" s="85"/>
      <c r="I48" s="103"/>
      <c r="K48" s="59" t="s">
        <v>312</v>
      </c>
    </row>
    <row r="49" spans="1:11" ht="14.25" customHeight="1" x14ac:dyDescent="0.25">
      <c r="A49" s="85"/>
      <c r="B49" s="85"/>
      <c r="C49" s="85"/>
      <c r="D49" s="85"/>
      <c r="E49" s="85"/>
      <c r="F49" s="85"/>
      <c r="G49" s="85"/>
      <c r="H49" s="85"/>
      <c r="I49" s="103"/>
      <c r="K49" s="59" t="s">
        <v>313</v>
      </c>
    </row>
    <row r="50" spans="1:11" ht="14.25" customHeight="1" x14ac:dyDescent="0.25">
      <c r="A50" s="85"/>
      <c r="B50" s="85"/>
      <c r="C50" s="85"/>
      <c r="D50" s="85"/>
      <c r="E50" s="85"/>
      <c r="F50" s="85"/>
      <c r="G50" s="85"/>
      <c r="H50" s="85"/>
      <c r="I50" s="103"/>
      <c r="K50" s="59" t="s">
        <v>314</v>
      </c>
    </row>
    <row r="51" spans="1:11" ht="14.25" customHeight="1" x14ac:dyDescent="0.25">
      <c r="A51" s="85"/>
      <c r="B51" s="85"/>
      <c r="C51" s="85"/>
      <c r="D51" s="85"/>
      <c r="E51" s="85"/>
      <c r="F51" s="85"/>
      <c r="G51" s="85"/>
      <c r="H51" s="85"/>
      <c r="I51" s="103"/>
      <c r="K51" s="59" t="s">
        <v>315</v>
      </c>
    </row>
    <row r="52" spans="1:11" ht="14.25" customHeight="1" x14ac:dyDescent="0.25">
      <c r="A52" s="85"/>
      <c r="B52" s="85"/>
      <c r="C52" s="85"/>
      <c r="D52" s="85"/>
      <c r="E52" s="85"/>
      <c r="F52" s="85"/>
      <c r="G52" s="85"/>
      <c r="H52" s="85"/>
      <c r="I52" s="103"/>
      <c r="K52" s="58" t="s">
        <v>316</v>
      </c>
    </row>
    <row r="53" spans="1:11" x14ac:dyDescent="0.25">
      <c r="A53" s="87"/>
      <c r="B53" s="87"/>
      <c r="C53" s="87"/>
      <c r="D53" s="87" t="str">
        <f ca="1">OFFSET(K43,K53,0)</f>
        <v xml:space="preserve"> </v>
      </c>
      <c r="E53" s="87"/>
      <c r="F53" s="87"/>
      <c r="G53" s="87"/>
      <c r="H53" s="87"/>
      <c r="I53" s="103"/>
      <c r="K53" s="58">
        <v>1</v>
      </c>
    </row>
    <row r="54" spans="1:11" x14ac:dyDescent="0.25">
      <c r="A54" s="88"/>
      <c r="B54" s="88"/>
      <c r="C54" s="88"/>
      <c r="D54" s="85" t="str">
        <f ca="1">OFFSET(K$43,K54,0)</f>
        <v xml:space="preserve"> </v>
      </c>
      <c r="E54" s="88"/>
      <c r="F54" s="88"/>
      <c r="G54" s="88"/>
      <c r="H54" s="88"/>
      <c r="I54" s="103"/>
      <c r="K54" s="58">
        <v>1</v>
      </c>
    </row>
    <row r="55" spans="1:11" x14ac:dyDescent="0.25">
      <c r="A55" s="88"/>
      <c r="B55" s="88"/>
      <c r="C55" s="88"/>
      <c r="D55" s="85" t="str">
        <f ca="1">OFFSET(K$43,K55,0)</f>
        <v xml:space="preserve"> </v>
      </c>
      <c r="E55" s="88"/>
      <c r="F55" s="88"/>
      <c r="G55" s="88"/>
      <c r="H55" s="88"/>
      <c r="I55" s="103"/>
      <c r="K55" s="58">
        <v>1</v>
      </c>
    </row>
    <row r="56" spans="1:11" x14ac:dyDescent="0.25">
      <c r="A56" s="88"/>
      <c r="B56" s="88"/>
      <c r="C56" s="88"/>
      <c r="D56" s="85" t="str">
        <f ca="1">OFFSET(K$43,K56,0)</f>
        <v xml:space="preserve"> </v>
      </c>
      <c r="E56" s="88"/>
      <c r="F56" s="88"/>
      <c r="G56" s="88"/>
      <c r="H56" s="88"/>
      <c r="I56" s="103"/>
      <c r="K56" s="58">
        <v>1</v>
      </c>
    </row>
    <row r="57" spans="1:11" x14ac:dyDescent="0.25">
      <c r="A57" s="88"/>
      <c r="B57" s="88"/>
      <c r="C57" s="88"/>
      <c r="D57" s="85" t="str">
        <f ca="1">OFFSET(K$43,K57,0)</f>
        <v xml:space="preserve"> </v>
      </c>
      <c r="E57" s="88"/>
      <c r="F57" s="88"/>
      <c r="G57" s="88"/>
      <c r="H57" s="88"/>
      <c r="I57" s="103"/>
      <c r="K57" s="58">
        <v>1</v>
      </c>
    </row>
    <row r="58" spans="1:11" x14ac:dyDescent="0.25">
      <c r="A58" s="89">
        <v>0</v>
      </c>
      <c r="B58" s="90">
        <v>46203</v>
      </c>
      <c r="C58" s="91" t="s">
        <v>317</v>
      </c>
      <c r="D58" s="91" t="str">
        <f ca="1">OFFSET(K$43,K58,0)</f>
        <v>PRL</v>
      </c>
      <c r="E58" s="91" t="s">
        <v>340</v>
      </c>
      <c r="F58" s="91" t="s">
        <v>318</v>
      </c>
      <c r="G58" s="91" t="s">
        <v>319</v>
      </c>
      <c r="H58" s="87"/>
      <c r="I58" s="103"/>
      <c r="K58" s="58">
        <v>3</v>
      </c>
    </row>
    <row r="59" spans="1:11" x14ac:dyDescent="0.25">
      <c r="A59" s="92" t="s">
        <v>320</v>
      </c>
      <c r="B59" s="92" t="s">
        <v>321</v>
      </c>
      <c r="C59" s="93" t="s">
        <v>322</v>
      </c>
      <c r="D59" s="92" t="s">
        <v>323</v>
      </c>
      <c r="E59" s="92" t="s">
        <v>324</v>
      </c>
      <c r="F59" s="92" t="s">
        <v>325</v>
      </c>
      <c r="G59" s="92" t="s">
        <v>326</v>
      </c>
      <c r="H59" s="92" t="s">
        <v>327</v>
      </c>
      <c r="I59" s="103"/>
    </row>
    <row r="60" spans="1:11" x14ac:dyDescent="0.25">
      <c r="A60" s="94"/>
      <c r="B60" s="94"/>
      <c r="C60" s="94"/>
      <c r="D60" s="94"/>
      <c r="E60" s="94"/>
      <c r="F60" s="94"/>
      <c r="G60" s="94"/>
      <c r="H60" s="94"/>
      <c r="I60" s="103"/>
    </row>
    <row r="61" spans="1:11" ht="8.25" customHeight="1" x14ac:dyDescent="0.25">
      <c r="A61" s="95" t="s">
        <v>328</v>
      </c>
      <c r="B61" s="96"/>
      <c r="C61" s="96"/>
      <c r="D61" s="96"/>
      <c r="E61" s="96"/>
      <c r="I61" s="103"/>
    </row>
    <row r="62" spans="1:11" ht="8.25" customHeight="1" x14ac:dyDescent="0.25">
      <c r="A62" s="95" t="s">
        <v>329</v>
      </c>
      <c r="I62" s="103"/>
    </row>
    <row r="63" spans="1:11" ht="9.6" customHeight="1" x14ac:dyDescent="0.25"/>
  </sheetData>
  <mergeCells count="1">
    <mergeCell ref="I12:I62"/>
  </mergeCells>
  <conditionalFormatting sqref="G15:H15">
    <cfRule type="cellIs" dxfId="3" priority="1" stopIfTrue="1" operator="equal">
      <formula>$K$19</formula>
    </cfRule>
    <cfRule type="cellIs" dxfId="2" priority="2" stopIfTrue="1" operator="equal">
      <formula>$K$21</formula>
    </cfRule>
    <cfRule type="cellIs" dxfId="1" priority="3" stopIfTrue="1" operator="equal">
      <formula>$K$18</formula>
    </cfRule>
    <cfRule type="cellIs" dxfId="0" priority="4" stopIfTrue="1" operator="equal">
      <formula>$K$20</formula>
    </cfRule>
  </conditionalFormatting>
  <pageMargins left="0.7" right="0.7" top="0.78740157499999996" bottom="0.78740157499999996" header="0.3" footer="0.3"/>
  <pageSetup paperSize="9" scale="8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10</xdr:col>
                    <xdr:colOff>22860</xdr:colOff>
                    <xdr:row>6</xdr:row>
                    <xdr:rowOff>7620</xdr:rowOff>
                  </from>
                  <to>
                    <xdr:col>13</xdr:col>
                    <xdr:colOff>350520</xdr:colOff>
                    <xdr:row>7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10</xdr:col>
                    <xdr:colOff>22860</xdr:colOff>
                    <xdr:row>14</xdr:row>
                    <xdr:rowOff>30480</xdr:rowOff>
                  </from>
                  <to>
                    <xdr:col>13</xdr:col>
                    <xdr:colOff>350520</xdr:colOff>
                    <xdr:row>15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Drop Down 3">
              <controlPr defaultSize="0" autoLine="0" autoPict="0">
                <anchor moveWithCells="1">
                  <from>
                    <xdr:col>10</xdr:col>
                    <xdr:colOff>22860</xdr:colOff>
                    <xdr:row>57</xdr:row>
                    <xdr:rowOff>121920</xdr:rowOff>
                  </from>
                  <to>
                    <xdr:col>13</xdr:col>
                    <xdr:colOff>350520</xdr:colOff>
                    <xdr:row>58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Drop Down 4">
              <controlPr defaultSize="0" autoLine="0" autoPict="0">
                <anchor moveWithCells="1">
                  <from>
                    <xdr:col>10</xdr:col>
                    <xdr:colOff>22860</xdr:colOff>
                    <xdr:row>56</xdr:row>
                    <xdr:rowOff>121920</xdr:rowOff>
                  </from>
                  <to>
                    <xdr:col>13</xdr:col>
                    <xdr:colOff>350520</xdr:colOff>
                    <xdr:row>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Drop Down 5">
              <controlPr defaultSize="0" autoLine="0" autoPict="0">
                <anchor moveWithCells="1">
                  <from>
                    <xdr:col>10</xdr:col>
                    <xdr:colOff>22860</xdr:colOff>
                    <xdr:row>55</xdr:row>
                    <xdr:rowOff>121920</xdr:rowOff>
                  </from>
                  <to>
                    <xdr:col>13</xdr:col>
                    <xdr:colOff>350520</xdr:colOff>
                    <xdr:row>56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Drop Down 6">
              <controlPr defaultSize="0" autoLine="0" autoPict="0">
                <anchor moveWithCells="1">
                  <from>
                    <xdr:col>10</xdr:col>
                    <xdr:colOff>22860</xdr:colOff>
                    <xdr:row>54</xdr:row>
                    <xdr:rowOff>121920</xdr:rowOff>
                  </from>
                  <to>
                    <xdr:col>13</xdr:col>
                    <xdr:colOff>350520</xdr:colOff>
                    <xdr:row>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Drop Down 7">
              <controlPr defaultSize="0" autoLine="0" autoPict="0">
                <anchor moveWithCells="1">
                  <from>
                    <xdr:col>10</xdr:col>
                    <xdr:colOff>22860</xdr:colOff>
                    <xdr:row>53</xdr:row>
                    <xdr:rowOff>121920</xdr:rowOff>
                  </from>
                  <to>
                    <xdr:col>13</xdr:col>
                    <xdr:colOff>350520</xdr:colOff>
                    <xdr:row>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Drop Down 8">
              <controlPr defaultSize="0" autoLine="0" autoPict="0">
                <anchor moveWithCells="1">
                  <from>
                    <xdr:col>10</xdr:col>
                    <xdr:colOff>22860</xdr:colOff>
                    <xdr:row>52</xdr:row>
                    <xdr:rowOff>121920</xdr:rowOff>
                  </from>
                  <to>
                    <xdr:col>13</xdr:col>
                    <xdr:colOff>350520</xdr:colOff>
                    <xdr:row>53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607F-C8E9-4F3D-9B2F-639090A3223C}">
  <sheetPr codeName="List1"/>
  <dimension ref="A1:P282"/>
  <sheetViews>
    <sheetView view="pageBreakPreview" topLeftCell="A103" zoomScale="115" zoomScaleNormal="100" zoomScaleSheetLayoutView="115" workbookViewId="0">
      <selection activeCell="G125" sqref="G125"/>
    </sheetView>
  </sheetViews>
  <sheetFormatPr defaultRowHeight="13.8" x14ac:dyDescent="0.3"/>
  <cols>
    <col min="1" max="1" width="6.5546875" style="6" customWidth="1"/>
    <col min="2" max="2" width="15.6640625" style="6" hidden="1" customWidth="1"/>
    <col min="3" max="3" width="15.6640625" style="6" customWidth="1"/>
    <col min="4" max="4" width="17.6640625" style="27" customWidth="1"/>
    <col min="5" max="5" width="12.6640625" style="6" customWidth="1"/>
    <col min="6" max="6" width="10.6640625" style="6" customWidth="1"/>
    <col min="7" max="7" width="20.6640625" style="6" customWidth="1"/>
    <col min="8" max="8" width="8.6640625" style="6" customWidth="1"/>
    <col min="9" max="9" width="20.6640625" style="6" customWidth="1"/>
    <col min="10" max="10" width="8.6640625" style="6" customWidth="1"/>
    <col min="11" max="11" width="32.44140625" style="6" customWidth="1"/>
    <col min="12" max="13" width="5" style="6" customWidth="1"/>
    <col min="14" max="14" width="24.6640625" style="6" customWidth="1"/>
    <col min="15" max="15" width="16.44140625" style="6" customWidth="1"/>
    <col min="16" max="16" width="26" style="6" customWidth="1"/>
    <col min="17" max="259" width="8.88671875" style="6"/>
    <col min="260" max="260" width="4.6640625" style="6" customWidth="1"/>
    <col min="261" max="261" width="16.6640625" style="6" customWidth="1"/>
    <col min="262" max="262" width="12.6640625" style="6" customWidth="1"/>
    <col min="263" max="263" width="12.88671875" style="6" customWidth="1"/>
    <col min="264" max="264" width="12.6640625" style="6" customWidth="1"/>
    <col min="265" max="265" width="16.6640625" style="6" customWidth="1"/>
    <col min="266" max="266" width="10.5546875" style="6" customWidth="1"/>
    <col min="267" max="267" width="16.6640625" style="6" customWidth="1"/>
    <col min="268" max="268" width="10.5546875" style="6" customWidth="1"/>
    <col min="269" max="269" width="21.5546875" style="6" customWidth="1"/>
    <col min="270" max="515" width="8.88671875" style="6"/>
    <col min="516" max="516" width="4.6640625" style="6" customWidth="1"/>
    <col min="517" max="517" width="16.6640625" style="6" customWidth="1"/>
    <col min="518" max="518" width="12.6640625" style="6" customWidth="1"/>
    <col min="519" max="519" width="12.88671875" style="6" customWidth="1"/>
    <col min="520" max="520" width="12.6640625" style="6" customWidth="1"/>
    <col min="521" max="521" width="16.6640625" style="6" customWidth="1"/>
    <col min="522" max="522" width="10.5546875" style="6" customWidth="1"/>
    <col min="523" max="523" width="16.6640625" style="6" customWidth="1"/>
    <col min="524" max="524" width="10.5546875" style="6" customWidth="1"/>
    <col min="525" max="525" width="21.5546875" style="6" customWidth="1"/>
    <col min="526" max="771" width="8.88671875" style="6"/>
    <col min="772" max="772" width="4.6640625" style="6" customWidth="1"/>
    <col min="773" max="773" width="16.6640625" style="6" customWidth="1"/>
    <col min="774" max="774" width="12.6640625" style="6" customWidth="1"/>
    <col min="775" max="775" width="12.88671875" style="6" customWidth="1"/>
    <col min="776" max="776" width="12.6640625" style="6" customWidth="1"/>
    <col min="777" max="777" width="16.6640625" style="6" customWidth="1"/>
    <col min="778" max="778" width="10.5546875" style="6" customWidth="1"/>
    <col min="779" max="779" width="16.6640625" style="6" customWidth="1"/>
    <col min="780" max="780" width="10.5546875" style="6" customWidth="1"/>
    <col min="781" max="781" width="21.5546875" style="6" customWidth="1"/>
    <col min="782" max="1027" width="8.88671875" style="6"/>
    <col min="1028" max="1028" width="4.6640625" style="6" customWidth="1"/>
    <col min="1029" max="1029" width="16.6640625" style="6" customWidth="1"/>
    <col min="1030" max="1030" width="12.6640625" style="6" customWidth="1"/>
    <col min="1031" max="1031" width="12.88671875" style="6" customWidth="1"/>
    <col min="1032" max="1032" width="12.6640625" style="6" customWidth="1"/>
    <col min="1033" max="1033" width="16.6640625" style="6" customWidth="1"/>
    <col min="1034" max="1034" width="10.5546875" style="6" customWidth="1"/>
    <col min="1035" max="1035" width="16.6640625" style="6" customWidth="1"/>
    <col min="1036" max="1036" width="10.5546875" style="6" customWidth="1"/>
    <col min="1037" max="1037" width="21.5546875" style="6" customWidth="1"/>
    <col min="1038" max="1283" width="8.88671875" style="6"/>
    <col min="1284" max="1284" width="4.6640625" style="6" customWidth="1"/>
    <col min="1285" max="1285" width="16.6640625" style="6" customWidth="1"/>
    <col min="1286" max="1286" width="12.6640625" style="6" customWidth="1"/>
    <col min="1287" max="1287" width="12.88671875" style="6" customWidth="1"/>
    <col min="1288" max="1288" width="12.6640625" style="6" customWidth="1"/>
    <col min="1289" max="1289" width="16.6640625" style="6" customWidth="1"/>
    <col min="1290" max="1290" width="10.5546875" style="6" customWidth="1"/>
    <col min="1291" max="1291" width="16.6640625" style="6" customWidth="1"/>
    <col min="1292" max="1292" width="10.5546875" style="6" customWidth="1"/>
    <col min="1293" max="1293" width="21.5546875" style="6" customWidth="1"/>
    <col min="1294" max="1539" width="8.88671875" style="6"/>
    <col min="1540" max="1540" width="4.6640625" style="6" customWidth="1"/>
    <col min="1541" max="1541" width="16.6640625" style="6" customWidth="1"/>
    <col min="1542" max="1542" width="12.6640625" style="6" customWidth="1"/>
    <col min="1543" max="1543" width="12.88671875" style="6" customWidth="1"/>
    <col min="1544" max="1544" width="12.6640625" style="6" customWidth="1"/>
    <col min="1545" max="1545" width="16.6640625" style="6" customWidth="1"/>
    <col min="1546" max="1546" width="10.5546875" style="6" customWidth="1"/>
    <col min="1547" max="1547" width="16.6640625" style="6" customWidth="1"/>
    <col min="1548" max="1548" width="10.5546875" style="6" customWidth="1"/>
    <col min="1549" max="1549" width="21.5546875" style="6" customWidth="1"/>
    <col min="1550" max="1795" width="8.88671875" style="6"/>
    <col min="1796" max="1796" width="4.6640625" style="6" customWidth="1"/>
    <col min="1797" max="1797" width="16.6640625" style="6" customWidth="1"/>
    <col min="1798" max="1798" width="12.6640625" style="6" customWidth="1"/>
    <col min="1799" max="1799" width="12.88671875" style="6" customWidth="1"/>
    <col min="1800" max="1800" width="12.6640625" style="6" customWidth="1"/>
    <col min="1801" max="1801" width="16.6640625" style="6" customWidth="1"/>
    <col min="1802" max="1802" width="10.5546875" style="6" customWidth="1"/>
    <col min="1803" max="1803" width="16.6640625" style="6" customWidth="1"/>
    <col min="1804" max="1804" width="10.5546875" style="6" customWidth="1"/>
    <col min="1805" max="1805" width="21.5546875" style="6" customWidth="1"/>
    <col min="1806" max="2051" width="8.88671875" style="6"/>
    <col min="2052" max="2052" width="4.6640625" style="6" customWidth="1"/>
    <col min="2053" max="2053" width="16.6640625" style="6" customWidth="1"/>
    <col min="2054" max="2054" width="12.6640625" style="6" customWidth="1"/>
    <col min="2055" max="2055" width="12.88671875" style="6" customWidth="1"/>
    <col min="2056" max="2056" width="12.6640625" style="6" customWidth="1"/>
    <col min="2057" max="2057" width="16.6640625" style="6" customWidth="1"/>
    <col min="2058" max="2058" width="10.5546875" style="6" customWidth="1"/>
    <col min="2059" max="2059" width="16.6640625" style="6" customWidth="1"/>
    <col min="2060" max="2060" width="10.5546875" style="6" customWidth="1"/>
    <col min="2061" max="2061" width="21.5546875" style="6" customWidth="1"/>
    <col min="2062" max="2307" width="8.88671875" style="6"/>
    <col min="2308" max="2308" width="4.6640625" style="6" customWidth="1"/>
    <col min="2309" max="2309" width="16.6640625" style="6" customWidth="1"/>
    <col min="2310" max="2310" width="12.6640625" style="6" customWidth="1"/>
    <col min="2311" max="2311" width="12.88671875" style="6" customWidth="1"/>
    <col min="2312" max="2312" width="12.6640625" style="6" customWidth="1"/>
    <col min="2313" max="2313" width="16.6640625" style="6" customWidth="1"/>
    <col min="2314" max="2314" width="10.5546875" style="6" customWidth="1"/>
    <col min="2315" max="2315" width="16.6640625" style="6" customWidth="1"/>
    <col min="2316" max="2316" width="10.5546875" style="6" customWidth="1"/>
    <col min="2317" max="2317" width="21.5546875" style="6" customWidth="1"/>
    <col min="2318" max="2563" width="8.88671875" style="6"/>
    <col min="2564" max="2564" width="4.6640625" style="6" customWidth="1"/>
    <col min="2565" max="2565" width="16.6640625" style="6" customWidth="1"/>
    <col min="2566" max="2566" width="12.6640625" style="6" customWidth="1"/>
    <col min="2567" max="2567" width="12.88671875" style="6" customWidth="1"/>
    <col min="2568" max="2568" width="12.6640625" style="6" customWidth="1"/>
    <col min="2569" max="2569" width="16.6640625" style="6" customWidth="1"/>
    <col min="2570" max="2570" width="10.5546875" style="6" customWidth="1"/>
    <col min="2571" max="2571" width="16.6640625" style="6" customWidth="1"/>
    <col min="2572" max="2572" width="10.5546875" style="6" customWidth="1"/>
    <col min="2573" max="2573" width="21.5546875" style="6" customWidth="1"/>
    <col min="2574" max="2819" width="8.88671875" style="6"/>
    <col min="2820" max="2820" width="4.6640625" style="6" customWidth="1"/>
    <col min="2821" max="2821" width="16.6640625" style="6" customWidth="1"/>
    <col min="2822" max="2822" width="12.6640625" style="6" customWidth="1"/>
    <col min="2823" max="2823" width="12.88671875" style="6" customWidth="1"/>
    <col min="2824" max="2824" width="12.6640625" style="6" customWidth="1"/>
    <col min="2825" max="2825" width="16.6640625" style="6" customWidth="1"/>
    <col min="2826" max="2826" width="10.5546875" style="6" customWidth="1"/>
    <col min="2827" max="2827" width="16.6640625" style="6" customWidth="1"/>
    <col min="2828" max="2828" width="10.5546875" style="6" customWidth="1"/>
    <col min="2829" max="2829" width="21.5546875" style="6" customWidth="1"/>
    <col min="2830" max="3075" width="8.88671875" style="6"/>
    <col min="3076" max="3076" width="4.6640625" style="6" customWidth="1"/>
    <col min="3077" max="3077" width="16.6640625" style="6" customWidth="1"/>
    <col min="3078" max="3078" width="12.6640625" style="6" customWidth="1"/>
    <col min="3079" max="3079" width="12.88671875" style="6" customWidth="1"/>
    <col min="3080" max="3080" width="12.6640625" style="6" customWidth="1"/>
    <col min="3081" max="3081" width="16.6640625" style="6" customWidth="1"/>
    <col min="3082" max="3082" width="10.5546875" style="6" customWidth="1"/>
    <col min="3083" max="3083" width="16.6640625" style="6" customWidth="1"/>
    <col min="3084" max="3084" width="10.5546875" style="6" customWidth="1"/>
    <col min="3085" max="3085" width="21.5546875" style="6" customWidth="1"/>
    <col min="3086" max="3331" width="8.88671875" style="6"/>
    <col min="3332" max="3332" width="4.6640625" style="6" customWidth="1"/>
    <col min="3333" max="3333" width="16.6640625" style="6" customWidth="1"/>
    <col min="3334" max="3334" width="12.6640625" style="6" customWidth="1"/>
    <col min="3335" max="3335" width="12.88671875" style="6" customWidth="1"/>
    <col min="3336" max="3336" width="12.6640625" style="6" customWidth="1"/>
    <col min="3337" max="3337" width="16.6640625" style="6" customWidth="1"/>
    <col min="3338" max="3338" width="10.5546875" style="6" customWidth="1"/>
    <col min="3339" max="3339" width="16.6640625" style="6" customWidth="1"/>
    <col min="3340" max="3340" width="10.5546875" style="6" customWidth="1"/>
    <col min="3341" max="3341" width="21.5546875" style="6" customWidth="1"/>
    <col min="3342" max="3587" width="8.88671875" style="6"/>
    <col min="3588" max="3588" width="4.6640625" style="6" customWidth="1"/>
    <col min="3589" max="3589" width="16.6640625" style="6" customWidth="1"/>
    <col min="3590" max="3590" width="12.6640625" style="6" customWidth="1"/>
    <col min="3591" max="3591" width="12.88671875" style="6" customWidth="1"/>
    <col min="3592" max="3592" width="12.6640625" style="6" customWidth="1"/>
    <col min="3593" max="3593" width="16.6640625" style="6" customWidth="1"/>
    <col min="3594" max="3594" width="10.5546875" style="6" customWidth="1"/>
    <col min="3595" max="3595" width="16.6640625" style="6" customWidth="1"/>
    <col min="3596" max="3596" width="10.5546875" style="6" customWidth="1"/>
    <col min="3597" max="3597" width="21.5546875" style="6" customWidth="1"/>
    <col min="3598" max="3843" width="8.88671875" style="6"/>
    <col min="3844" max="3844" width="4.6640625" style="6" customWidth="1"/>
    <col min="3845" max="3845" width="16.6640625" style="6" customWidth="1"/>
    <col min="3846" max="3846" width="12.6640625" style="6" customWidth="1"/>
    <col min="3847" max="3847" width="12.88671875" style="6" customWidth="1"/>
    <col min="3848" max="3848" width="12.6640625" style="6" customWidth="1"/>
    <col min="3849" max="3849" width="16.6640625" style="6" customWidth="1"/>
    <col min="3850" max="3850" width="10.5546875" style="6" customWidth="1"/>
    <col min="3851" max="3851" width="16.6640625" style="6" customWidth="1"/>
    <col min="3852" max="3852" width="10.5546875" style="6" customWidth="1"/>
    <col min="3853" max="3853" width="21.5546875" style="6" customWidth="1"/>
    <col min="3854" max="4099" width="8.88671875" style="6"/>
    <col min="4100" max="4100" width="4.6640625" style="6" customWidth="1"/>
    <col min="4101" max="4101" width="16.6640625" style="6" customWidth="1"/>
    <col min="4102" max="4102" width="12.6640625" style="6" customWidth="1"/>
    <col min="4103" max="4103" width="12.88671875" style="6" customWidth="1"/>
    <col min="4104" max="4104" width="12.6640625" style="6" customWidth="1"/>
    <col min="4105" max="4105" width="16.6640625" style="6" customWidth="1"/>
    <col min="4106" max="4106" width="10.5546875" style="6" customWidth="1"/>
    <col min="4107" max="4107" width="16.6640625" style="6" customWidth="1"/>
    <col min="4108" max="4108" width="10.5546875" style="6" customWidth="1"/>
    <col min="4109" max="4109" width="21.5546875" style="6" customWidth="1"/>
    <col min="4110" max="4355" width="8.88671875" style="6"/>
    <col min="4356" max="4356" width="4.6640625" style="6" customWidth="1"/>
    <col min="4357" max="4357" width="16.6640625" style="6" customWidth="1"/>
    <col min="4358" max="4358" width="12.6640625" style="6" customWidth="1"/>
    <col min="4359" max="4359" width="12.88671875" style="6" customWidth="1"/>
    <col min="4360" max="4360" width="12.6640625" style="6" customWidth="1"/>
    <col min="4361" max="4361" width="16.6640625" style="6" customWidth="1"/>
    <col min="4362" max="4362" width="10.5546875" style="6" customWidth="1"/>
    <col min="4363" max="4363" width="16.6640625" style="6" customWidth="1"/>
    <col min="4364" max="4364" width="10.5546875" style="6" customWidth="1"/>
    <col min="4365" max="4365" width="21.5546875" style="6" customWidth="1"/>
    <col min="4366" max="4611" width="8.88671875" style="6"/>
    <col min="4612" max="4612" width="4.6640625" style="6" customWidth="1"/>
    <col min="4613" max="4613" width="16.6640625" style="6" customWidth="1"/>
    <col min="4614" max="4614" width="12.6640625" style="6" customWidth="1"/>
    <col min="4615" max="4615" width="12.88671875" style="6" customWidth="1"/>
    <col min="4616" max="4616" width="12.6640625" style="6" customWidth="1"/>
    <col min="4617" max="4617" width="16.6640625" style="6" customWidth="1"/>
    <col min="4618" max="4618" width="10.5546875" style="6" customWidth="1"/>
    <col min="4619" max="4619" width="16.6640625" style="6" customWidth="1"/>
    <col min="4620" max="4620" width="10.5546875" style="6" customWidth="1"/>
    <col min="4621" max="4621" width="21.5546875" style="6" customWidth="1"/>
    <col min="4622" max="4867" width="8.88671875" style="6"/>
    <col min="4868" max="4868" width="4.6640625" style="6" customWidth="1"/>
    <col min="4869" max="4869" width="16.6640625" style="6" customWidth="1"/>
    <col min="4870" max="4870" width="12.6640625" style="6" customWidth="1"/>
    <col min="4871" max="4871" width="12.88671875" style="6" customWidth="1"/>
    <col min="4872" max="4872" width="12.6640625" style="6" customWidth="1"/>
    <col min="4873" max="4873" width="16.6640625" style="6" customWidth="1"/>
    <col min="4874" max="4874" width="10.5546875" style="6" customWidth="1"/>
    <col min="4875" max="4875" width="16.6640625" style="6" customWidth="1"/>
    <col min="4876" max="4876" width="10.5546875" style="6" customWidth="1"/>
    <col min="4877" max="4877" width="21.5546875" style="6" customWidth="1"/>
    <col min="4878" max="5123" width="8.88671875" style="6"/>
    <col min="5124" max="5124" width="4.6640625" style="6" customWidth="1"/>
    <col min="5125" max="5125" width="16.6640625" style="6" customWidth="1"/>
    <col min="5126" max="5126" width="12.6640625" style="6" customWidth="1"/>
    <col min="5127" max="5127" width="12.88671875" style="6" customWidth="1"/>
    <col min="5128" max="5128" width="12.6640625" style="6" customWidth="1"/>
    <col min="5129" max="5129" width="16.6640625" style="6" customWidth="1"/>
    <col min="5130" max="5130" width="10.5546875" style="6" customWidth="1"/>
    <col min="5131" max="5131" width="16.6640625" style="6" customWidth="1"/>
    <col min="5132" max="5132" width="10.5546875" style="6" customWidth="1"/>
    <col min="5133" max="5133" width="21.5546875" style="6" customWidth="1"/>
    <col min="5134" max="5379" width="8.88671875" style="6"/>
    <col min="5380" max="5380" width="4.6640625" style="6" customWidth="1"/>
    <col min="5381" max="5381" width="16.6640625" style="6" customWidth="1"/>
    <col min="5382" max="5382" width="12.6640625" style="6" customWidth="1"/>
    <col min="5383" max="5383" width="12.88671875" style="6" customWidth="1"/>
    <col min="5384" max="5384" width="12.6640625" style="6" customWidth="1"/>
    <col min="5385" max="5385" width="16.6640625" style="6" customWidth="1"/>
    <col min="5386" max="5386" width="10.5546875" style="6" customWidth="1"/>
    <col min="5387" max="5387" width="16.6640625" style="6" customWidth="1"/>
    <col min="5388" max="5388" width="10.5546875" style="6" customWidth="1"/>
    <col min="5389" max="5389" width="21.5546875" style="6" customWidth="1"/>
    <col min="5390" max="5635" width="8.88671875" style="6"/>
    <col min="5636" max="5636" width="4.6640625" style="6" customWidth="1"/>
    <col min="5637" max="5637" width="16.6640625" style="6" customWidth="1"/>
    <col min="5638" max="5638" width="12.6640625" style="6" customWidth="1"/>
    <col min="5639" max="5639" width="12.88671875" style="6" customWidth="1"/>
    <col min="5640" max="5640" width="12.6640625" style="6" customWidth="1"/>
    <col min="5641" max="5641" width="16.6640625" style="6" customWidth="1"/>
    <col min="5642" max="5642" width="10.5546875" style="6" customWidth="1"/>
    <col min="5643" max="5643" width="16.6640625" style="6" customWidth="1"/>
    <col min="5644" max="5644" width="10.5546875" style="6" customWidth="1"/>
    <col min="5645" max="5645" width="21.5546875" style="6" customWidth="1"/>
    <col min="5646" max="5891" width="8.88671875" style="6"/>
    <col min="5892" max="5892" width="4.6640625" style="6" customWidth="1"/>
    <col min="5893" max="5893" width="16.6640625" style="6" customWidth="1"/>
    <col min="5894" max="5894" width="12.6640625" style="6" customWidth="1"/>
    <col min="5895" max="5895" width="12.88671875" style="6" customWidth="1"/>
    <col min="5896" max="5896" width="12.6640625" style="6" customWidth="1"/>
    <col min="5897" max="5897" width="16.6640625" style="6" customWidth="1"/>
    <col min="5898" max="5898" width="10.5546875" style="6" customWidth="1"/>
    <col min="5899" max="5899" width="16.6640625" style="6" customWidth="1"/>
    <col min="5900" max="5900" width="10.5546875" style="6" customWidth="1"/>
    <col min="5901" max="5901" width="21.5546875" style="6" customWidth="1"/>
    <col min="5902" max="6147" width="8.88671875" style="6"/>
    <col min="6148" max="6148" width="4.6640625" style="6" customWidth="1"/>
    <col min="6149" max="6149" width="16.6640625" style="6" customWidth="1"/>
    <col min="6150" max="6150" width="12.6640625" style="6" customWidth="1"/>
    <col min="6151" max="6151" width="12.88671875" style="6" customWidth="1"/>
    <col min="6152" max="6152" width="12.6640625" style="6" customWidth="1"/>
    <col min="6153" max="6153" width="16.6640625" style="6" customWidth="1"/>
    <col min="6154" max="6154" width="10.5546875" style="6" customWidth="1"/>
    <col min="6155" max="6155" width="16.6640625" style="6" customWidth="1"/>
    <col min="6156" max="6156" width="10.5546875" style="6" customWidth="1"/>
    <col min="6157" max="6157" width="21.5546875" style="6" customWidth="1"/>
    <col min="6158" max="6403" width="8.88671875" style="6"/>
    <col min="6404" max="6404" width="4.6640625" style="6" customWidth="1"/>
    <col min="6405" max="6405" width="16.6640625" style="6" customWidth="1"/>
    <col min="6406" max="6406" width="12.6640625" style="6" customWidth="1"/>
    <col min="6407" max="6407" width="12.88671875" style="6" customWidth="1"/>
    <col min="6408" max="6408" width="12.6640625" style="6" customWidth="1"/>
    <col min="6409" max="6409" width="16.6640625" style="6" customWidth="1"/>
    <col min="6410" max="6410" width="10.5546875" style="6" customWidth="1"/>
    <col min="6411" max="6411" width="16.6640625" style="6" customWidth="1"/>
    <col min="6412" max="6412" width="10.5546875" style="6" customWidth="1"/>
    <col min="6413" max="6413" width="21.5546875" style="6" customWidth="1"/>
    <col min="6414" max="6659" width="8.88671875" style="6"/>
    <col min="6660" max="6660" width="4.6640625" style="6" customWidth="1"/>
    <col min="6661" max="6661" width="16.6640625" style="6" customWidth="1"/>
    <col min="6662" max="6662" width="12.6640625" style="6" customWidth="1"/>
    <col min="6663" max="6663" width="12.88671875" style="6" customWidth="1"/>
    <col min="6664" max="6664" width="12.6640625" style="6" customWidth="1"/>
    <col min="6665" max="6665" width="16.6640625" style="6" customWidth="1"/>
    <col min="6666" max="6666" width="10.5546875" style="6" customWidth="1"/>
    <col min="6667" max="6667" width="16.6640625" style="6" customWidth="1"/>
    <col min="6668" max="6668" width="10.5546875" style="6" customWidth="1"/>
    <col min="6669" max="6669" width="21.5546875" style="6" customWidth="1"/>
    <col min="6670" max="6915" width="8.88671875" style="6"/>
    <col min="6916" max="6916" width="4.6640625" style="6" customWidth="1"/>
    <col min="6917" max="6917" width="16.6640625" style="6" customWidth="1"/>
    <col min="6918" max="6918" width="12.6640625" style="6" customWidth="1"/>
    <col min="6919" max="6919" width="12.88671875" style="6" customWidth="1"/>
    <col min="6920" max="6920" width="12.6640625" style="6" customWidth="1"/>
    <col min="6921" max="6921" width="16.6640625" style="6" customWidth="1"/>
    <col min="6922" max="6922" width="10.5546875" style="6" customWidth="1"/>
    <col min="6923" max="6923" width="16.6640625" style="6" customWidth="1"/>
    <col min="6924" max="6924" width="10.5546875" style="6" customWidth="1"/>
    <col min="6925" max="6925" width="21.5546875" style="6" customWidth="1"/>
    <col min="6926" max="7171" width="8.88671875" style="6"/>
    <col min="7172" max="7172" width="4.6640625" style="6" customWidth="1"/>
    <col min="7173" max="7173" width="16.6640625" style="6" customWidth="1"/>
    <col min="7174" max="7174" width="12.6640625" style="6" customWidth="1"/>
    <col min="7175" max="7175" width="12.88671875" style="6" customWidth="1"/>
    <col min="7176" max="7176" width="12.6640625" style="6" customWidth="1"/>
    <col min="7177" max="7177" width="16.6640625" style="6" customWidth="1"/>
    <col min="7178" max="7178" width="10.5546875" style="6" customWidth="1"/>
    <col min="7179" max="7179" width="16.6640625" style="6" customWidth="1"/>
    <col min="7180" max="7180" width="10.5546875" style="6" customWidth="1"/>
    <col min="7181" max="7181" width="21.5546875" style="6" customWidth="1"/>
    <col min="7182" max="7427" width="8.88671875" style="6"/>
    <col min="7428" max="7428" width="4.6640625" style="6" customWidth="1"/>
    <col min="7429" max="7429" width="16.6640625" style="6" customWidth="1"/>
    <col min="7430" max="7430" width="12.6640625" style="6" customWidth="1"/>
    <col min="7431" max="7431" width="12.88671875" style="6" customWidth="1"/>
    <col min="7432" max="7432" width="12.6640625" style="6" customWidth="1"/>
    <col min="7433" max="7433" width="16.6640625" style="6" customWidth="1"/>
    <col min="7434" max="7434" width="10.5546875" style="6" customWidth="1"/>
    <col min="7435" max="7435" width="16.6640625" style="6" customWidth="1"/>
    <col min="7436" max="7436" width="10.5546875" style="6" customWidth="1"/>
    <col min="7437" max="7437" width="21.5546875" style="6" customWidth="1"/>
    <col min="7438" max="7683" width="8.88671875" style="6"/>
    <col min="7684" max="7684" width="4.6640625" style="6" customWidth="1"/>
    <col min="7685" max="7685" width="16.6640625" style="6" customWidth="1"/>
    <col min="7686" max="7686" width="12.6640625" style="6" customWidth="1"/>
    <col min="7687" max="7687" width="12.88671875" style="6" customWidth="1"/>
    <col min="7688" max="7688" width="12.6640625" style="6" customWidth="1"/>
    <col min="7689" max="7689" width="16.6640625" style="6" customWidth="1"/>
    <col min="7690" max="7690" width="10.5546875" style="6" customWidth="1"/>
    <col min="7691" max="7691" width="16.6640625" style="6" customWidth="1"/>
    <col min="7692" max="7692" width="10.5546875" style="6" customWidth="1"/>
    <col min="7693" max="7693" width="21.5546875" style="6" customWidth="1"/>
    <col min="7694" max="7939" width="8.88671875" style="6"/>
    <col min="7940" max="7940" width="4.6640625" style="6" customWidth="1"/>
    <col min="7941" max="7941" width="16.6640625" style="6" customWidth="1"/>
    <col min="7942" max="7942" width="12.6640625" style="6" customWidth="1"/>
    <col min="7943" max="7943" width="12.88671875" style="6" customWidth="1"/>
    <col min="7944" max="7944" width="12.6640625" style="6" customWidth="1"/>
    <col min="7945" max="7945" width="16.6640625" style="6" customWidth="1"/>
    <col min="7946" max="7946" width="10.5546875" style="6" customWidth="1"/>
    <col min="7947" max="7947" width="16.6640625" style="6" customWidth="1"/>
    <col min="7948" max="7948" width="10.5546875" style="6" customWidth="1"/>
    <col min="7949" max="7949" width="21.5546875" style="6" customWidth="1"/>
    <col min="7950" max="8195" width="8.88671875" style="6"/>
    <col min="8196" max="8196" width="4.6640625" style="6" customWidth="1"/>
    <col min="8197" max="8197" width="16.6640625" style="6" customWidth="1"/>
    <col min="8198" max="8198" width="12.6640625" style="6" customWidth="1"/>
    <col min="8199" max="8199" width="12.88671875" style="6" customWidth="1"/>
    <col min="8200" max="8200" width="12.6640625" style="6" customWidth="1"/>
    <col min="8201" max="8201" width="16.6640625" style="6" customWidth="1"/>
    <col min="8202" max="8202" width="10.5546875" style="6" customWidth="1"/>
    <col min="8203" max="8203" width="16.6640625" style="6" customWidth="1"/>
    <col min="8204" max="8204" width="10.5546875" style="6" customWidth="1"/>
    <col min="8205" max="8205" width="21.5546875" style="6" customWidth="1"/>
    <col min="8206" max="8451" width="8.88671875" style="6"/>
    <col min="8452" max="8452" width="4.6640625" style="6" customWidth="1"/>
    <col min="8453" max="8453" width="16.6640625" style="6" customWidth="1"/>
    <col min="8454" max="8454" width="12.6640625" style="6" customWidth="1"/>
    <col min="8455" max="8455" width="12.88671875" style="6" customWidth="1"/>
    <col min="8456" max="8456" width="12.6640625" style="6" customWidth="1"/>
    <col min="8457" max="8457" width="16.6640625" style="6" customWidth="1"/>
    <col min="8458" max="8458" width="10.5546875" style="6" customWidth="1"/>
    <col min="8459" max="8459" width="16.6640625" style="6" customWidth="1"/>
    <col min="8460" max="8460" width="10.5546875" style="6" customWidth="1"/>
    <col min="8461" max="8461" width="21.5546875" style="6" customWidth="1"/>
    <col min="8462" max="8707" width="8.88671875" style="6"/>
    <col min="8708" max="8708" width="4.6640625" style="6" customWidth="1"/>
    <col min="8709" max="8709" width="16.6640625" style="6" customWidth="1"/>
    <col min="8710" max="8710" width="12.6640625" style="6" customWidth="1"/>
    <col min="8711" max="8711" width="12.88671875" style="6" customWidth="1"/>
    <col min="8712" max="8712" width="12.6640625" style="6" customWidth="1"/>
    <col min="8713" max="8713" width="16.6640625" style="6" customWidth="1"/>
    <col min="8714" max="8714" width="10.5546875" style="6" customWidth="1"/>
    <col min="8715" max="8715" width="16.6640625" style="6" customWidth="1"/>
    <col min="8716" max="8716" width="10.5546875" style="6" customWidth="1"/>
    <col min="8717" max="8717" width="21.5546875" style="6" customWidth="1"/>
    <col min="8718" max="8963" width="8.88671875" style="6"/>
    <col min="8964" max="8964" width="4.6640625" style="6" customWidth="1"/>
    <col min="8965" max="8965" width="16.6640625" style="6" customWidth="1"/>
    <col min="8966" max="8966" width="12.6640625" style="6" customWidth="1"/>
    <col min="8967" max="8967" width="12.88671875" style="6" customWidth="1"/>
    <col min="8968" max="8968" width="12.6640625" style="6" customWidth="1"/>
    <col min="8969" max="8969" width="16.6640625" style="6" customWidth="1"/>
    <col min="8970" max="8970" width="10.5546875" style="6" customWidth="1"/>
    <col min="8971" max="8971" width="16.6640625" style="6" customWidth="1"/>
    <col min="8972" max="8972" width="10.5546875" style="6" customWidth="1"/>
    <col min="8973" max="8973" width="21.5546875" style="6" customWidth="1"/>
    <col min="8974" max="9219" width="8.88671875" style="6"/>
    <col min="9220" max="9220" width="4.6640625" style="6" customWidth="1"/>
    <col min="9221" max="9221" width="16.6640625" style="6" customWidth="1"/>
    <col min="9222" max="9222" width="12.6640625" style="6" customWidth="1"/>
    <col min="9223" max="9223" width="12.88671875" style="6" customWidth="1"/>
    <col min="9224" max="9224" width="12.6640625" style="6" customWidth="1"/>
    <col min="9225" max="9225" width="16.6640625" style="6" customWidth="1"/>
    <col min="9226" max="9226" width="10.5546875" style="6" customWidth="1"/>
    <col min="9227" max="9227" width="16.6640625" style="6" customWidth="1"/>
    <col min="9228" max="9228" width="10.5546875" style="6" customWidth="1"/>
    <col min="9229" max="9229" width="21.5546875" style="6" customWidth="1"/>
    <col min="9230" max="9475" width="8.88671875" style="6"/>
    <col min="9476" max="9476" width="4.6640625" style="6" customWidth="1"/>
    <col min="9477" max="9477" width="16.6640625" style="6" customWidth="1"/>
    <col min="9478" max="9478" width="12.6640625" style="6" customWidth="1"/>
    <col min="9479" max="9479" width="12.88671875" style="6" customWidth="1"/>
    <col min="9480" max="9480" width="12.6640625" style="6" customWidth="1"/>
    <col min="9481" max="9481" width="16.6640625" style="6" customWidth="1"/>
    <col min="9482" max="9482" width="10.5546875" style="6" customWidth="1"/>
    <col min="9483" max="9483" width="16.6640625" style="6" customWidth="1"/>
    <col min="9484" max="9484" width="10.5546875" style="6" customWidth="1"/>
    <col min="9485" max="9485" width="21.5546875" style="6" customWidth="1"/>
    <col min="9486" max="9731" width="8.88671875" style="6"/>
    <col min="9732" max="9732" width="4.6640625" style="6" customWidth="1"/>
    <col min="9733" max="9733" width="16.6640625" style="6" customWidth="1"/>
    <col min="9734" max="9734" width="12.6640625" style="6" customWidth="1"/>
    <col min="9735" max="9735" width="12.88671875" style="6" customWidth="1"/>
    <col min="9736" max="9736" width="12.6640625" style="6" customWidth="1"/>
    <col min="9737" max="9737" width="16.6640625" style="6" customWidth="1"/>
    <col min="9738" max="9738" width="10.5546875" style="6" customWidth="1"/>
    <col min="9739" max="9739" width="16.6640625" style="6" customWidth="1"/>
    <col min="9740" max="9740" width="10.5546875" style="6" customWidth="1"/>
    <col min="9741" max="9741" width="21.5546875" style="6" customWidth="1"/>
    <col min="9742" max="9987" width="8.88671875" style="6"/>
    <col min="9988" max="9988" width="4.6640625" style="6" customWidth="1"/>
    <col min="9989" max="9989" width="16.6640625" style="6" customWidth="1"/>
    <col min="9990" max="9990" width="12.6640625" style="6" customWidth="1"/>
    <col min="9991" max="9991" width="12.88671875" style="6" customWidth="1"/>
    <col min="9992" max="9992" width="12.6640625" style="6" customWidth="1"/>
    <col min="9993" max="9993" width="16.6640625" style="6" customWidth="1"/>
    <col min="9994" max="9994" width="10.5546875" style="6" customWidth="1"/>
    <col min="9995" max="9995" width="16.6640625" style="6" customWidth="1"/>
    <col min="9996" max="9996" width="10.5546875" style="6" customWidth="1"/>
    <col min="9997" max="9997" width="21.5546875" style="6" customWidth="1"/>
    <col min="9998" max="10243" width="8.88671875" style="6"/>
    <col min="10244" max="10244" width="4.6640625" style="6" customWidth="1"/>
    <col min="10245" max="10245" width="16.6640625" style="6" customWidth="1"/>
    <col min="10246" max="10246" width="12.6640625" style="6" customWidth="1"/>
    <col min="10247" max="10247" width="12.88671875" style="6" customWidth="1"/>
    <col min="10248" max="10248" width="12.6640625" style="6" customWidth="1"/>
    <col min="10249" max="10249" width="16.6640625" style="6" customWidth="1"/>
    <col min="10250" max="10250" width="10.5546875" style="6" customWidth="1"/>
    <col min="10251" max="10251" width="16.6640625" style="6" customWidth="1"/>
    <col min="10252" max="10252" width="10.5546875" style="6" customWidth="1"/>
    <col min="10253" max="10253" width="21.5546875" style="6" customWidth="1"/>
    <col min="10254" max="10499" width="8.88671875" style="6"/>
    <col min="10500" max="10500" width="4.6640625" style="6" customWidth="1"/>
    <col min="10501" max="10501" width="16.6640625" style="6" customWidth="1"/>
    <col min="10502" max="10502" width="12.6640625" style="6" customWidth="1"/>
    <col min="10503" max="10503" width="12.88671875" style="6" customWidth="1"/>
    <col min="10504" max="10504" width="12.6640625" style="6" customWidth="1"/>
    <col min="10505" max="10505" width="16.6640625" style="6" customWidth="1"/>
    <col min="10506" max="10506" width="10.5546875" style="6" customWidth="1"/>
    <col min="10507" max="10507" width="16.6640625" style="6" customWidth="1"/>
    <col min="10508" max="10508" width="10.5546875" style="6" customWidth="1"/>
    <col min="10509" max="10509" width="21.5546875" style="6" customWidth="1"/>
    <col min="10510" max="10755" width="8.88671875" style="6"/>
    <col min="10756" max="10756" width="4.6640625" style="6" customWidth="1"/>
    <col min="10757" max="10757" width="16.6640625" style="6" customWidth="1"/>
    <col min="10758" max="10758" width="12.6640625" style="6" customWidth="1"/>
    <col min="10759" max="10759" width="12.88671875" style="6" customWidth="1"/>
    <col min="10760" max="10760" width="12.6640625" style="6" customWidth="1"/>
    <col min="10761" max="10761" width="16.6640625" style="6" customWidth="1"/>
    <col min="10762" max="10762" width="10.5546875" style="6" customWidth="1"/>
    <col min="10763" max="10763" width="16.6640625" style="6" customWidth="1"/>
    <col min="10764" max="10764" width="10.5546875" style="6" customWidth="1"/>
    <col min="10765" max="10765" width="21.5546875" style="6" customWidth="1"/>
    <col min="10766" max="11011" width="8.88671875" style="6"/>
    <col min="11012" max="11012" width="4.6640625" style="6" customWidth="1"/>
    <col min="11013" max="11013" width="16.6640625" style="6" customWidth="1"/>
    <col min="11014" max="11014" width="12.6640625" style="6" customWidth="1"/>
    <col min="11015" max="11015" width="12.88671875" style="6" customWidth="1"/>
    <col min="11016" max="11016" width="12.6640625" style="6" customWidth="1"/>
    <col min="11017" max="11017" width="16.6640625" style="6" customWidth="1"/>
    <col min="11018" max="11018" width="10.5546875" style="6" customWidth="1"/>
    <col min="11019" max="11019" width="16.6640625" style="6" customWidth="1"/>
    <col min="11020" max="11020" width="10.5546875" style="6" customWidth="1"/>
    <col min="11021" max="11021" width="21.5546875" style="6" customWidth="1"/>
    <col min="11022" max="11267" width="8.88671875" style="6"/>
    <col min="11268" max="11268" width="4.6640625" style="6" customWidth="1"/>
    <col min="11269" max="11269" width="16.6640625" style="6" customWidth="1"/>
    <col min="11270" max="11270" width="12.6640625" style="6" customWidth="1"/>
    <col min="11271" max="11271" width="12.88671875" style="6" customWidth="1"/>
    <col min="11272" max="11272" width="12.6640625" style="6" customWidth="1"/>
    <col min="11273" max="11273" width="16.6640625" style="6" customWidth="1"/>
    <col min="11274" max="11274" width="10.5546875" style="6" customWidth="1"/>
    <col min="11275" max="11275" width="16.6640625" style="6" customWidth="1"/>
    <col min="11276" max="11276" width="10.5546875" style="6" customWidth="1"/>
    <col min="11277" max="11277" width="21.5546875" style="6" customWidth="1"/>
    <col min="11278" max="11523" width="8.88671875" style="6"/>
    <col min="11524" max="11524" width="4.6640625" style="6" customWidth="1"/>
    <col min="11525" max="11525" width="16.6640625" style="6" customWidth="1"/>
    <col min="11526" max="11526" width="12.6640625" style="6" customWidth="1"/>
    <col min="11527" max="11527" width="12.88671875" style="6" customWidth="1"/>
    <col min="11528" max="11528" width="12.6640625" style="6" customWidth="1"/>
    <col min="11529" max="11529" width="16.6640625" style="6" customWidth="1"/>
    <col min="11530" max="11530" width="10.5546875" style="6" customWidth="1"/>
    <col min="11531" max="11531" width="16.6640625" style="6" customWidth="1"/>
    <col min="11532" max="11532" width="10.5546875" style="6" customWidth="1"/>
    <col min="11533" max="11533" width="21.5546875" style="6" customWidth="1"/>
    <col min="11534" max="11779" width="8.88671875" style="6"/>
    <col min="11780" max="11780" width="4.6640625" style="6" customWidth="1"/>
    <col min="11781" max="11781" width="16.6640625" style="6" customWidth="1"/>
    <col min="11782" max="11782" width="12.6640625" style="6" customWidth="1"/>
    <col min="11783" max="11783" width="12.88671875" style="6" customWidth="1"/>
    <col min="11784" max="11784" width="12.6640625" style="6" customWidth="1"/>
    <col min="11785" max="11785" width="16.6640625" style="6" customWidth="1"/>
    <col min="11786" max="11786" width="10.5546875" style="6" customWidth="1"/>
    <col min="11787" max="11787" width="16.6640625" style="6" customWidth="1"/>
    <col min="11788" max="11788" width="10.5546875" style="6" customWidth="1"/>
    <col min="11789" max="11789" width="21.5546875" style="6" customWidth="1"/>
    <col min="11790" max="12035" width="8.88671875" style="6"/>
    <col min="12036" max="12036" width="4.6640625" style="6" customWidth="1"/>
    <col min="12037" max="12037" width="16.6640625" style="6" customWidth="1"/>
    <col min="12038" max="12038" width="12.6640625" style="6" customWidth="1"/>
    <col min="12039" max="12039" width="12.88671875" style="6" customWidth="1"/>
    <col min="12040" max="12040" width="12.6640625" style="6" customWidth="1"/>
    <col min="12041" max="12041" width="16.6640625" style="6" customWidth="1"/>
    <col min="12042" max="12042" width="10.5546875" style="6" customWidth="1"/>
    <col min="12043" max="12043" width="16.6640625" style="6" customWidth="1"/>
    <col min="12044" max="12044" width="10.5546875" style="6" customWidth="1"/>
    <col min="12045" max="12045" width="21.5546875" style="6" customWidth="1"/>
    <col min="12046" max="12291" width="8.88671875" style="6"/>
    <col min="12292" max="12292" width="4.6640625" style="6" customWidth="1"/>
    <col min="12293" max="12293" width="16.6640625" style="6" customWidth="1"/>
    <col min="12294" max="12294" width="12.6640625" style="6" customWidth="1"/>
    <col min="12295" max="12295" width="12.88671875" style="6" customWidth="1"/>
    <col min="12296" max="12296" width="12.6640625" style="6" customWidth="1"/>
    <col min="12297" max="12297" width="16.6640625" style="6" customWidth="1"/>
    <col min="12298" max="12298" width="10.5546875" style="6" customWidth="1"/>
    <col min="12299" max="12299" width="16.6640625" style="6" customWidth="1"/>
    <col min="12300" max="12300" width="10.5546875" style="6" customWidth="1"/>
    <col min="12301" max="12301" width="21.5546875" style="6" customWidth="1"/>
    <col min="12302" max="12547" width="8.88671875" style="6"/>
    <col min="12548" max="12548" width="4.6640625" style="6" customWidth="1"/>
    <col min="12549" max="12549" width="16.6640625" style="6" customWidth="1"/>
    <col min="12550" max="12550" width="12.6640625" style="6" customWidth="1"/>
    <col min="12551" max="12551" width="12.88671875" style="6" customWidth="1"/>
    <col min="12552" max="12552" width="12.6640625" style="6" customWidth="1"/>
    <col min="12553" max="12553" width="16.6640625" style="6" customWidth="1"/>
    <col min="12554" max="12554" width="10.5546875" style="6" customWidth="1"/>
    <col min="12555" max="12555" width="16.6640625" style="6" customWidth="1"/>
    <col min="12556" max="12556" width="10.5546875" style="6" customWidth="1"/>
    <col min="12557" max="12557" width="21.5546875" style="6" customWidth="1"/>
    <col min="12558" max="12803" width="8.88671875" style="6"/>
    <col min="12804" max="12804" width="4.6640625" style="6" customWidth="1"/>
    <col min="12805" max="12805" width="16.6640625" style="6" customWidth="1"/>
    <col min="12806" max="12806" width="12.6640625" style="6" customWidth="1"/>
    <col min="12807" max="12807" width="12.88671875" style="6" customWidth="1"/>
    <col min="12808" max="12808" width="12.6640625" style="6" customWidth="1"/>
    <col min="12809" max="12809" width="16.6640625" style="6" customWidth="1"/>
    <col min="12810" max="12810" width="10.5546875" style="6" customWidth="1"/>
    <col min="12811" max="12811" width="16.6640625" style="6" customWidth="1"/>
    <col min="12812" max="12812" width="10.5546875" style="6" customWidth="1"/>
    <col min="12813" max="12813" width="21.5546875" style="6" customWidth="1"/>
    <col min="12814" max="13059" width="8.88671875" style="6"/>
    <col min="13060" max="13060" width="4.6640625" style="6" customWidth="1"/>
    <col min="13061" max="13061" width="16.6640625" style="6" customWidth="1"/>
    <col min="13062" max="13062" width="12.6640625" style="6" customWidth="1"/>
    <col min="13063" max="13063" width="12.88671875" style="6" customWidth="1"/>
    <col min="13064" max="13064" width="12.6640625" style="6" customWidth="1"/>
    <col min="13065" max="13065" width="16.6640625" style="6" customWidth="1"/>
    <col min="13066" max="13066" width="10.5546875" style="6" customWidth="1"/>
    <col min="13067" max="13067" width="16.6640625" style="6" customWidth="1"/>
    <col min="13068" max="13068" width="10.5546875" style="6" customWidth="1"/>
    <col min="13069" max="13069" width="21.5546875" style="6" customWidth="1"/>
    <col min="13070" max="13315" width="8.88671875" style="6"/>
    <col min="13316" max="13316" width="4.6640625" style="6" customWidth="1"/>
    <col min="13317" max="13317" width="16.6640625" style="6" customWidth="1"/>
    <col min="13318" max="13318" width="12.6640625" style="6" customWidth="1"/>
    <col min="13319" max="13319" width="12.88671875" style="6" customWidth="1"/>
    <col min="13320" max="13320" width="12.6640625" style="6" customWidth="1"/>
    <col min="13321" max="13321" width="16.6640625" style="6" customWidth="1"/>
    <col min="13322" max="13322" width="10.5546875" style="6" customWidth="1"/>
    <col min="13323" max="13323" width="16.6640625" style="6" customWidth="1"/>
    <col min="13324" max="13324" width="10.5546875" style="6" customWidth="1"/>
    <col min="13325" max="13325" width="21.5546875" style="6" customWidth="1"/>
    <col min="13326" max="13571" width="8.88671875" style="6"/>
    <col min="13572" max="13572" width="4.6640625" style="6" customWidth="1"/>
    <col min="13573" max="13573" width="16.6640625" style="6" customWidth="1"/>
    <col min="13574" max="13574" width="12.6640625" style="6" customWidth="1"/>
    <col min="13575" max="13575" width="12.88671875" style="6" customWidth="1"/>
    <col min="13576" max="13576" width="12.6640625" style="6" customWidth="1"/>
    <col min="13577" max="13577" width="16.6640625" style="6" customWidth="1"/>
    <col min="13578" max="13578" width="10.5546875" style="6" customWidth="1"/>
    <col min="13579" max="13579" width="16.6640625" style="6" customWidth="1"/>
    <col min="13580" max="13580" width="10.5546875" style="6" customWidth="1"/>
    <col min="13581" max="13581" width="21.5546875" style="6" customWidth="1"/>
    <col min="13582" max="13827" width="8.88671875" style="6"/>
    <col min="13828" max="13828" width="4.6640625" style="6" customWidth="1"/>
    <col min="13829" max="13829" width="16.6640625" style="6" customWidth="1"/>
    <col min="13830" max="13830" width="12.6640625" style="6" customWidth="1"/>
    <col min="13831" max="13831" width="12.88671875" style="6" customWidth="1"/>
    <col min="13832" max="13832" width="12.6640625" style="6" customWidth="1"/>
    <col min="13833" max="13833" width="16.6640625" style="6" customWidth="1"/>
    <col min="13834" max="13834" width="10.5546875" style="6" customWidth="1"/>
    <col min="13835" max="13835" width="16.6640625" style="6" customWidth="1"/>
    <col min="13836" max="13836" width="10.5546875" style="6" customWidth="1"/>
    <col min="13837" max="13837" width="21.5546875" style="6" customWidth="1"/>
    <col min="13838" max="14083" width="8.88671875" style="6"/>
    <col min="14084" max="14084" width="4.6640625" style="6" customWidth="1"/>
    <col min="14085" max="14085" width="16.6640625" style="6" customWidth="1"/>
    <col min="14086" max="14086" width="12.6640625" style="6" customWidth="1"/>
    <col min="14087" max="14087" width="12.88671875" style="6" customWidth="1"/>
    <col min="14088" max="14088" width="12.6640625" style="6" customWidth="1"/>
    <col min="14089" max="14089" width="16.6640625" style="6" customWidth="1"/>
    <col min="14090" max="14090" width="10.5546875" style="6" customWidth="1"/>
    <col min="14091" max="14091" width="16.6640625" style="6" customWidth="1"/>
    <col min="14092" max="14092" width="10.5546875" style="6" customWidth="1"/>
    <col min="14093" max="14093" width="21.5546875" style="6" customWidth="1"/>
    <col min="14094" max="14339" width="8.88671875" style="6"/>
    <col min="14340" max="14340" width="4.6640625" style="6" customWidth="1"/>
    <col min="14341" max="14341" width="16.6640625" style="6" customWidth="1"/>
    <col min="14342" max="14342" width="12.6640625" style="6" customWidth="1"/>
    <col min="14343" max="14343" width="12.88671875" style="6" customWidth="1"/>
    <col min="14344" max="14344" width="12.6640625" style="6" customWidth="1"/>
    <col min="14345" max="14345" width="16.6640625" style="6" customWidth="1"/>
    <col min="14346" max="14346" width="10.5546875" style="6" customWidth="1"/>
    <col min="14347" max="14347" width="16.6640625" style="6" customWidth="1"/>
    <col min="14348" max="14348" width="10.5546875" style="6" customWidth="1"/>
    <col min="14349" max="14349" width="21.5546875" style="6" customWidth="1"/>
    <col min="14350" max="14595" width="8.88671875" style="6"/>
    <col min="14596" max="14596" width="4.6640625" style="6" customWidth="1"/>
    <col min="14597" max="14597" width="16.6640625" style="6" customWidth="1"/>
    <col min="14598" max="14598" width="12.6640625" style="6" customWidth="1"/>
    <col min="14599" max="14599" width="12.88671875" style="6" customWidth="1"/>
    <col min="14600" max="14600" width="12.6640625" style="6" customWidth="1"/>
    <col min="14601" max="14601" width="16.6640625" style="6" customWidth="1"/>
    <col min="14602" max="14602" width="10.5546875" style="6" customWidth="1"/>
    <col min="14603" max="14603" width="16.6640625" style="6" customWidth="1"/>
    <col min="14604" max="14604" width="10.5546875" style="6" customWidth="1"/>
    <col min="14605" max="14605" width="21.5546875" style="6" customWidth="1"/>
    <col min="14606" max="14851" width="8.88671875" style="6"/>
    <col min="14852" max="14852" width="4.6640625" style="6" customWidth="1"/>
    <col min="14853" max="14853" width="16.6640625" style="6" customWidth="1"/>
    <col min="14854" max="14854" width="12.6640625" style="6" customWidth="1"/>
    <col min="14855" max="14855" width="12.88671875" style="6" customWidth="1"/>
    <col min="14856" max="14856" width="12.6640625" style="6" customWidth="1"/>
    <col min="14857" max="14857" width="16.6640625" style="6" customWidth="1"/>
    <col min="14858" max="14858" width="10.5546875" style="6" customWidth="1"/>
    <col min="14859" max="14859" width="16.6640625" style="6" customWidth="1"/>
    <col min="14860" max="14860" width="10.5546875" style="6" customWidth="1"/>
    <col min="14861" max="14861" width="21.5546875" style="6" customWidth="1"/>
    <col min="14862" max="15107" width="8.88671875" style="6"/>
    <col min="15108" max="15108" width="4.6640625" style="6" customWidth="1"/>
    <col min="15109" max="15109" width="16.6640625" style="6" customWidth="1"/>
    <col min="15110" max="15110" width="12.6640625" style="6" customWidth="1"/>
    <col min="15111" max="15111" width="12.88671875" style="6" customWidth="1"/>
    <col min="15112" max="15112" width="12.6640625" style="6" customWidth="1"/>
    <col min="15113" max="15113" width="16.6640625" style="6" customWidth="1"/>
    <col min="15114" max="15114" width="10.5546875" style="6" customWidth="1"/>
    <col min="15115" max="15115" width="16.6640625" style="6" customWidth="1"/>
    <col min="15116" max="15116" width="10.5546875" style="6" customWidth="1"/>
    <col min="15117" max="15117" width="21.5546875" style="6" customWidth="1"/>
    <col min="15118" max="15363" width="8.88671875" style="6"/>
    <col min="15364" max="15364" width="4.6640625" style="6" customWidth="1"/>
    <col min="15365" max="15365" width="16.6640625" style="6" customWidth="1"/>
    <col min="15366" max="15366" width="12.6640625" style="6" customWidth="1"/>
    <col min="15367" max="15367" width="12.88671875" style="6" customWidth="1"/>
    <col min="15368" max="15368" width="12.6640625" style="6" customWidth="1"/>
    <col min="15369" max="15369" width="16.6640625" style="6" customWidth="1"/>
    <col min="15370" max="15370" width="10.5546875" style="6" customWidth="1"/>
    <col min="15371" max="15371" width="16.6640625" style="6" customWidth="1"/>
    <col min="15372" max="15372" width="10.5546875" style="6" customWidth="1"/>
    <col min="15373" max="15373" width="21.5546875" style="6" customWidth="1"/>
    <col min="15374" max="15619" width="8.88671875" style="6"/>
    <col min="15620" max="15620" width="4.6640625" style="6" customWidth="1"/>
    <col min="15621" max="15621" width="16.6640625" style="6" customWidth="1"/>
    <col min="15622" max="15622" width="12.6640625" style="6" customWidth="1"/>
    <col min="15623" max="15623" width="12.88671875" style="6" customWidth="1"/>
    <col min="15624" max="15624" width="12.6640625" style="6" customWidth="1"/>
    <col min="15625" max="15625" width="16.6640625" style="6" customWidth="1"/>
    <col min="15626" max="15626" width="10.5546875" style="6" customWidth="1"/>
    <col min="15627" max="15627" width="16.6640625" style="6" customWidth="1"/>
    <col min="15628" max="15628" width="10.5546875" style="6" customWidth="1"/>
    <col min="15629" max="15629" width="21.5546875" style="6" customWidth="1"/>
    <col min="15630" max="15875" width="8.88671875" style="6"/>
    <col min="15876" max="15876" width="4.6640625" style="6" customWidth="1"/>
    <col min="15877" max="15877" width="16.6640625" style="6" customWidth="1"/>
    <col min="15878" max="15878" width="12.6640625" style="6" customWidth="1"/>
    <col min="15879" max="15879" width="12.88671875" style="6" customWidth="1"/>
    <col min="15880" max="15880" width="12.6640625" style="6" customWidth="1"/>
    <col min="15881" max="15881" width="16.6640625" style="6" customWidth="1"/>
    <col min="15882" max="15882" width="10.5546875" style="6" customWidth="1"/>
    <col min="15883" max="15883" width="16.6640625" style="6" customWidth="1"/>
    <col min="15884" max="15884" width="10.5546875" style="6" customWidth="1"/>
    <col min="15885" max="15885" width="21.5546875" style="6" customWidth="1"/>
    <col min="15886" max="16131" width="8.88671875" style="6"/>
    <col min="16132" max="16132" width="4.6640625" style="6" customWidth="1"/>
    <col min="16133" max="16133" width="16.6640625" style="6" customWidth="1"/>
    <col min="16134" max="16134" width="12.6640625" style="6" customWidth="1"/>
    <col min="16135" max="16135" width="12.88671875" style="6" customWidth="1"/>
    <col min="16136" max="16136" width="12.6640625" style="6" customWidth="1"/>
    <col min="16137" max="16137" width="16.6640625" style="6" customWidth="1"/>
    <col min="16138" max="16138" width="10.5546875" style="6" customWidth="1"/>
    <col min="16139" max="16139" width="16.6640625" style="6" customWidth="1"/>
    <col min="16140" max="16140" width="10.5546875" style="6" customWidth="1"/>
    <col min="16141" max="16141" width="21.5546875" style="6" customWidth="1"/>
    <col min="16142" max="16384" width="8.88671875" style="6"/>
  </cols>
  <sheetData>
    <row r="1" spans="1:16" ht="1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7</v>
      </c>
      <c r="K1" s="5" t="s">
        <v>9</v>
      </c>
    </row>
    <row r="2" spans="1:16" ht="15.75" customHeight="1" thickBot="1" x14ac:dyDescent="0.35">
      <c r="A2" s="7" t="s">
        <v>10</v>
      </c>
      <c r="B2" s="8" t="s">
        <v>11</v>
      </c>
      <c r="C2" s="9" t="s">
        <v>12</v>
      </c>
      <c r="D2" s="9" t="s">
        <v>13</v>
      </c>
      <c r="E2" s="10" t="s">
        <v>14</v>
      </c>
      <c r="F2" s="9" t="s">
        <v>15</v>
      </c>
      <c r="G2" s="9" t="s">
        <v>16</v>
      </c>
      <c r="H2" s="10" t="s">
        <v>17</v>
      </c>
      <c r="I2" s="9" t="s">
        <v>18</v>
      </c>
      <c r="J2" s="10" t="s">
        <v>17</v>
      </c>
      <c r="K2" s="11" t="s">
        <v>19</v>
      </c>
    </row>
    <row r="3" spans="1:16" ht="15.75" customHeight="1" x14ac:dyDescent="0.3">
      <c r="A3" s="34" t="s">
        <v>51</v>
      </c>
      <c r="B3" s="35"/>
      <c r="C3" s="36"/>
      <c r="D3" s="28"/>
      <c r="E3" s="29"/>
      <c r="F3" s="28"/>
      <c r="G3" s="28"/>
      <c r="H3" s="29"/>
      <c r="I3" s="28"/>
      <c r="J3" s="30"/>
      <c r="K3" s="31"/>
    </row>
    <row r="4" spans="1:16" x14ac:dyDescent="0.3">
      <c r="A4" s="12"/>
      <c r="B4" s="32"/>
      <c r="C4" s="33" t="s">
        <v>25</v>
      </c>
      <c r="D4" s="14"/>
      <c r="E4" s="14"/>
      <c r="F4" s="14"/>
      <c r="G4" s="14"/>
      <c r="H4" s="14"/>
      <c r="I4" s="14"/>
      <c r="J4" s="15"/>
      <c r="K4" s="16"/>
    </row>
    <row r="5" spans="1:16" x14ac:dyDescent="0.3">
      <c r="A5" s="17">
        <v>76</v>
      </c>
      <c r="B5" s="18" t="s">
        <v>20</v>
      </c>
      <c r="C5" s="19" t="s">
        <v>90</v>
      </c>
      <c r="D5" s="20" t="s">
        <v>26</v>
      </c>
      <c r="E5" s="20" t="s">
        <v>268</v>
      </c>
      <c r="F5" s="52">
        <v>20</v>
      </c>
      <c r="G5" s="55" t="s">
        <v>336</v>
      </c>
      <c r="H5" s="20" t="s">
        <v>27</v>
      </c>
      <c r="I5" s="21" t="s">
        <v>28</v>
      </c>
      <c r="J5" s="22" t="s">
        <v>27</v>
      </c>
      <c r="K5" s="23" t="s">
        <v>29</v>
      </c>
      <c r="M5" s="6">
        <v>1</v>
      </c>
      <c r="N5" s="6" t="s">
        <v>337</v>
      </c>
    </row>
    <row r="6" spans="1:16" ht="27.6" x14ac:dyDescent="0.3">
      <c r="A6" s="17"/>
      <c r="B6" s="18" t="s">
        <v>22</v>
      </c>
      <c r="C6" s="19" t="s">
        <v>91</v>
      </c>
      <c r="D6" s="20" t="s">
        <v>26</v>
      </c>
      <c r="E6" s="20" t="s">
        <v>268</v>
      </c>
      <c r="F6" s="52">
        <v>20</v>
      </c>
      <c r="G6" s="55" t="s">
        <v>336</v>
      </c>
      <c r="H6" s="20" t="s">
        <v>27</v>
      </c>
      <c r="I6" s="21" t="s">
        <v>28</v>
      </c>
      <c r="J6" s="22" t="s">
        <v>27</v>
      </c>
      <c r="K6" s="23" t="s">
        <v>220</v>
      </c>
      <c r="M6" s="6">
        <v>1</v>
      </c>
      <c r="N6" s="6" t="s">
        <v>337</v>
      </c>
    </row>
    <row r="7" spans="1:16" x14ac:dyDescent="0.3">
      <c r="A7" s="17"/>
      <c r="B7" s="18"/>
      <c r="C7" s="19" t="s">
        <v>92</v>
      </c>
      <c r="D7" s="20" t="s">
        <v>58</v>
      </c>
      <c r="E7" s="20" t="s">
        <v>30</v>
      </c>
      <c r="F7" s="52">
        <v>20</v>
      </c>
      <c r="G7" s="21" t="s">
        <v>28</v>
      </c>
      <c r="H7" s="22" t="s">
        <v>27</v>
      </c>
      <c r="I7" s="21" t="s">
        <v>31</v>
      </c>
      <c r="J7" s="20"/>
      <c r="K7" s="23" t="s">
        <v>335</v>
      </c>
      <c r="M7" s="6">
        <v>1</v>
      </c>
    </row>
    <row r="8" spans="1:16" x14ac:dyDescent="0.3">
      <c r="A8" s="17"/>
      <c r="B8" s="18"/>
      <c r="C8" s="19"/>
      <c r="D8" s="20"/>
      <c r="E8" s="20"/>
      <c r="F8" s="20"/>
      <c r="G8" s="21"/>
      <c r="H8" s="20"/>
      <c r="I8" s="19"/>
      <c r="J8" s="20"/>
      <c r="K8" s="23"/>
      <c r="M8" s="6">
        <v>1</v>
      </c>
    </row>
    <row r="9" spans="1:16" x14ac:dyDescent="0.3">
      <c r="A9" s="17">
        <v>83</v>
      </c>
      <c r="B9" s="18"/>
      <c r="C9" s="19" t="s">
        <v>93</v>
      </c>
      <c r="D9" s="20" t="s">
        <v>32</v>
      </c>
      <c r="E9" s="20" t="s">
        <v>33</v>
      </c>
      <c r="F9" s="20">
        <v>42</v>
      </c>
      <c r="G9" s="21" t="s">
        <v>43</v>
      </c>
      <c r="H9" s="20" t="s">
        <v>27</v>
      </c>
      <c r="I9" s="19" t="s">
        <v>45</v>
      </c>
      <c r="J9" s="20" t="s">
        <v>21</v>
      </c>
      <c r="K9" s="23" t="s">
        <v>65</v>
      </c>
      <c r="M9" s="6">
        <v>1</v>
      </c>
      <c r="O9" s="19" t="s">
        <v>45</v>
      </c>
      <c r="P9" s="23" t="s">
        <v>65</v>
      </c>
    </row>
    <row r="10" spans="1:16" x14ac:dyDescent="0.3">
      <c r="A10" s="17"/>
      <c r="B10" s="18" t="s">
        <v>23</v>
      </c>
      <c r="C10" s="19" t="s">
        <v>94</v>
      </c>
      <c r="D10" s="20" t="s">
        <v>34</v>
      </c>
      <c r="E10" s="20" t="s">
        <v>35</v>
      </c>
      <c r="F10" s="20">
        <v>42</v>
      </c>
      <c r="G10" s="21" t="s">
        <v>43</v>
      </c>
      <c r="H10" s="20" t="s">
        <v>27</v>
      </c>
      <c r="I10" s="19" t="s">
        <v>45</v>
      </c>
      <c r="J10" s="20" t="s">
        <v>21</v>
      </c>
      <c r="K10" s="23" t="s">
        <v>36</v>
      </c>
      <c r="M10" s="6">
        <v>1</v>
      </c>
      <c r="O10" s="19" t="s">
        <v>63</v>
      </c>
      <c r="P10" s="23" t="s">
        <v>64</v>
      </c>
    </row>
    <row r="11" spans="1:16" x14ac:dyDescent="0.3">
      <c r="A11" s="17"/>
      <c r="B11" s="18" t="s">
        <v>24</v>
      </c>
      <c r="C11" s="19" t="s">
        <v>95</v>
      </c>
      <c r="D11" s="20" t="s">
        <v>37</v>
      </c>
      <c r="E11" s="20" t="s">
        <v>38</v>
      </c>
      <c r="F11" s="20">
        <v>10</v>
      </c>
      <c r="G11" s="21" t="s">
        <v>43</v>
      </c>
      <c r="H11" s="20" t="s">
        <v>27</v>
      </c>
      <c r="I11" s="19" t="s">
        <v>39</v>
      </c>
      <c r="J11" s="20" t="s">
        <v>21</v>
      </c>
      <c r="K11" s="23" t="s">
        <v>265</v>
      </c>
      <c r="M11" s="6">
        <v>1</v>
      </c>
      <c r="N11" s="6" t="s">
        <v>348</v>
      </c>
      <c r="O11" s="19" t="s">
        <v>48</v>
      </c>
      <c r="P11" s="23" t="s">
        <v>66</v>
      </c>
    </row>
    <row r="12" spans="1:16" x14ac:dyDescent="0.3">
      <c r="A12" s="17"/>
      <c r="B12" s="18" t="s">
        <v>24</v>
      </c>
      <c r="C12" s="19" t="s">
        <v>96</v>
      </c>
      <c r="D12" s="20" t="s">
        <v>34</v>
      </c>
      <c r="E12" s="20" t="s">
        <v>35</v>
      </c>
      <c r="F12" s="20">
        <v>10</v>
      </c>
      <c r="G12" s="21" t="s">
        <v>43</v>
      </c>
      <c r="H12" s="20" t="s">
        <v>27</v>
      </c>
      <c r="I12" s="19" t="s">
        <v>39</v>
      </c>
      <c r="J12" s="20" t="s">
        <v>21</v>
      </c>
      <c r="K12" s="23" t="s">
        <v>40</v>
      </c>
      <c r="M12" s="6">
        <v>1</v>
      </c>
      <c r="N12" s="6" t="s">
        <v>348</v>
      </c>
      <c r="O12" s="19" t="s">
        <v>53</v>
      </c>
      <c r="P12" s="23" t="s">
        <v>67</v>
      </c>
    </row>
    <row r="13" spans="1:16" x14ac:dyDescent="0.3">
      <c r="A13" s="17"/>
      <c r="B13" s="18"/>
      <c r="C13" s="19"/>
      <c r="D13" s="20"/>
      <c r="E13" s="20"/>
      <c r="F13" s="20"/>
      <c r="G13" s="21"/>
      <c r="H13" s="20"/>
      <c r="I13" s="21"/>
      <c r="J13" s="22"/>
      <c r="K13" s="23"/>
      <c r="M13" s="6">
        <v>1</v>
      </c>
      <c r="O13" s="19" t="s">
        <v>57</v>
      </c>
      <c r="P13" s="23" t="s">
        <v>54</v>
      </c>
    </row>
    <row r="14" spans="1:16" ht="27.6" x14ac:dyDescent="0.3">
      <c r="A14" s="17">
        <v>84</v>
      </c>
      <c r="B14" s="18"/>
      <c r="C14" s="41" t="s">
        <v>97</v>
      </c>
      <c r="D14" s="20" t="s">
        <v>41</v>
      </c>
      <c r="E14" s="20" t="s">
        <v>42</v>
      </c>
      <c r="F14" s="52">
        <v>10</v>
      </c>
      <c r="G14" s="21" t="s">
        <v>43</v>
      </c>
      <c r="H14" s="22" t="s">
        <v>27</v>
      </c>
      <c r="I14" s="21" t="s">
        <v>44</v>
      </c>
      <c r="J14" s="22" t="s">
        <v>27</v>
      </c>
      <c r="K14" s="23" t="s">
        <v>220</v>
      </c>
      <c r="M14" s="6">
        <v>1</v>
      </c>
      <c r="O14" s="19" t="s">
        <v>50</v>
      </c>
      <c r="P14" s="23" t="s">
        <v>68</v>
      </c>
    </row>
    <row r="15" spans="1:16" x14ac:dyDescent="0.3">
      <c r="A15" s="17"/>
      <c r="B15" s="18"/>
      <c r="C15" s="19"/>
      <c r="D15" s="20"/>
      <c r="E15" s="20"/>
      <c r="F15" s="20"/>
      <c r="G15" s="21"/>
      <c r="H15" s="22"/>
      <c r="I15" s="21"/>
      <c r="J15" s="22"/>
      <c r="K15" s="23"/>
      <c r="M15" s="6">
        <v>1</v>
      </c>
    </row>
    <row r="16" spans="1:16" x14ac:dyDescent="0.3">
      <c r="A16" s="17">
        <v>86</v>
      </c>
      <c r="B16" s="21"/>
      <c r="C16" s="37" t="s">
        <v>98</v>
      </c>
      <c r="D16" s="38" t="s">
        <v>37</v>
      </c>
      <c r="E16" s="38" t="s">
        <v>46</v>
      </c>
      <c r="F16" s="20">
        <v>42</v>
      </c>
      <c r="G16" s="21" t="s">
        <v>62</v>
      </c>
      <c r="H16" s="20" t="s">
        <v>27</v>
      </c>
      <c r="I16" s="19" t="s">
        <v>63</v>
      </c>
      <c r="J16" s="22" t="s">
        <v>21</v>
      </c>
      <c r="K16" s="23" t="s">
        <v>64</v>
      </c>
      <c r="M16" s="6">
        <v>1</v>
      </c>
    </row>
    <row r="17" spans="1:15" x14ac:dyDescent="0.3">
      <c r="A17" s="17"/>
      <c r="B17" s="18" t="s">
        <v>23</v>
      </c>
      <c r="C17" s="37" t="s">
        <v>99</v>
      </c>
      <c r="D17" s="38" t="s">
        <v>34</v>
      </c>
      <c r="E17" s="38" t="s">
        <v>35</v>
      </c>
      <c r="F17" s="20">
        <v>42</v>
      </c>
      <c r="G17" s="21" t="s">
        <v>62</v>
      </c>
      <c r="H17" s="20" t="s">
        <v>27</v>
      </c>
      <c r="I17" s="19" t="s">
        <v>63</v>
      </c>
      <c r="J17" s="20" t="s">
        <v>21</v>
      </c>
      <c r="K17" s="23" t="s">
        <v>36</v>
      </c>
      <c r="M17" s="6">
        <v>1</v>
      </c>
    </row>
    <row r="18" spans="1:15" x14ac:dyDescent="0.3">
      <c r="A18" s="17"/>
      <c r="B18" s="18"/>
      <c r="C18" s="19"/>
      <c r="D18" s="20"/>
      <c r="E18" s="20"/>
      <c r="F18" s="20"/>
      <c r="G18" s="21"/>
      <c r="H18" s="20"/>
      <c r="I18" s="21"/>
      <c r="J18" s="20"/>
      <c r="K18" s="23"/>
      <c r="M18" s="6">
        <v>1</v>
      </c>
    </row>
    <row r="19" spans="1:15" ht="27.6" x14ac:dyDescent="0.3">
      <c r="A19" s="17">
        <v>87</v>
      </c>
      <c r="B19" s="18"/>
      <c r="C19" s="41" t="s">
        <v>100</v>
      </c>
      <c r="D19" s="20" t="s">
        <v>41</v>
      </c>
      <c r="E19" s="20" t="s">
        <v>42</v>
      </c>
      <c r="F19" s="52">
        <v>10</v>
      </c>
      <c r="G19" s="21" t="s">
        <v>43</v>
      </c>
      <c r="H19" s="22" t="s">
        <v>27</v>
      </c>
      <c r="I19" s="21" t="s">
        <v>44</v>
      </c>
      <c r="J19" s="22" t="s">
        <v>27</v>
      </c>
      <c r="K19" s="23" t="s">
        <v>220</v>
      </c>
      <c r="M19" s="6">
        <v>1</v>
      </c>
    </row>
    <row r="20" spans="1:15" x14ac:dyDescent="0.3">
      <c r="A20" s="17"/>
      <c r="B20" s="18"/>
      <c r="C20" s="19"/>
      <c r="D20" s="20"/>
      <c r="E20" s="20"/>
      <c r="F20" s="20"/>
      <c r="G20" s="39"/>
      <c r="H20" s="20"/>
      <c r="I20" s="21"/>
      <c r="J20" s="22"/>
      <c r="K20" s="23"/>
      <c r="M20" s="6">
        <v>1</v>
      </c>
    </row>
    <row r="21" spans="1:15" x14ac:dyDescent="0.3">
      <c r="A21" s="17">
        <v>88</v>
      </c>
      <c r="B21" s="18"/>
      <c r="C21" s="19" t="s">
        <v>101</v>
      </c>
      <c r="D21" s="20" t="s">
        <v>47</v>
      </c>
      <c r="E21" s="20" t="s">
        <v>46</v>
      </c>
      <c r="F21" s="20">
        <v>42</v>
      </c>
      <c r="G21" s="21" t="s">
        <v>28</v>
      </c>
      <c r="H21" s="20" t="s">
        <v>27</v>
      </c>
      <c r="I21" s="19" t="s">
        <v>48</v>
      </c>
      <c r="J21" s="20" t="s">
        <v>21</v>
      </c>
      <c r="K21" s="23" t="s">
        <v>266</v>
      </c>
      <c r="M21" s="6">
        <v>1</v>
      </c>
    </row>
    <row r="22" spans="1:15" x14ac:dyDescent="0.3">
      <c r="A22" s="17"/>
      <c r="B22" s="18"/>
      <c r="C22" s="19"/>
      <c r="D22" s="20"/>
      <c r="E22" s="20"/>
      <c r="F22" s="20"/>
      <c r="G22" s="39"/>
      <c r="H22" s="20"/>
      <c r="I22" s="19"/>
      <c r="J22" s="22"/>
      <c r="K22" s="23"/>
      <c r="M22" s="6">
        <v>1</v>
      </c>
    </row>
    <row r="23" spans="1:15" x14ac:dyDescent="0.3">
      <c r="A23" s="17">
        <v>89</v>
      </c>
      <c r="B23" s="18"/>
      <c r="C23" s="19" t="s">
        <v>102</v>
      </c>
      <c r="D23" s="20" t="s">
        <v>47</v>
      </c>
      <c r="E23" s="20" t="s">
        <v>46</v>
      </c>
      <c r="F23" s="20">
        <v>42</v>
      </c>
      <c r="G23" s="21" t="s">
        <v>52</v>
      </c>
      <c r="H23" s="20" t="s">
        <v>27</v>
      </c>
      <c r="I23" s="19" t="s">
        <v>53</v>
      </c>
      <c r="J23" s="22" t="s">
        <v>21</v>
      </c>
      <c r="K23" s="23" t="s">
        <v>67</v>
      </c>
      <c r="M23" s="6">
        <v>1</v>
      </c>
    </row>
    <row r="24" spans="1:15" x14ac:dyDescent="0.3">
      <c r="A24" s="17"/>
      <c r="B24" s="18" t="s">
        <v>23</v>
      </c>
      <c r="C24" s="19" t="s">
        <v>103</v>
      </c>
      <c r="D24" s="20" t="s">
        <v>34</v>
      </c>
      <c r="E24" s="20" t="s">
        <v>35</v>
      </c>
      <c r="F24" s="20">
        <v>42</v>
      </c>
      <c r="G24" s="21" t="s">
        <v>52</v>
      </c>
      <c r="H24" s="20" t="s">
        <v>27</v>
      </c>
      <c r="I24" s="19" t="s">
        <v>53</v>
      </c>
      <c r="J24" s="20" t="s">
        <v>21</v>
      </c>
      <c r="K24" s="23" t="s">
        <v>36</v>
      </c>
      <c r="M24" s="6">
        <v>1</v>
      </c>
    </row>
    <row r="25" spans="1:15" x14ac:dyDescent="0.3">
      <c r="A25" s="17"/>
      <c r="B25" s="18"/>
      <c r="C25" s="19"/>
      <c r="D25" s="20"/>
      <c r="E25" s="20"/>
      <c r="F25" s="20"/>
      <c r="G25" s="39"/>
      <c r="H25" s="20"/>
      <c r="I25" s="21"/>
      <c r="J25" s="22"/>
      <c r="K25" s="23"/>
      <c r="M25" s="6">
        <v>1</v>
      </c>
    </row>
    <row r="26" spans="1:15" x14ac:dyDescent="0.3">
      <c r="A26" s="17">
        <v>90</v>
      </c>
      <c r="B26" s="21"/>
      <c r="C26" s="37" t="s">
        <v>116</v>
      </c>
      <c r="D26" s="38" t="s">
        <v>47</v>
      </c>
      <c r="E26" s="38" t="s">
        <v>46</v>
      </c>
      <c r="F26" s="20">
        <v>42</v>
      </c>
      <c r="G26" s="21" t="s">
        <v>55</v>
      </c>
      <c r="H26" s="20" t="s">
        <v>27</v>
      </c>
      <c r="I26" s="19" t="s">
        <v>57</v>
      </c>
      <c r="J26" s="22" t="s">
        <v>21</v>
      </c>
      <c r="K26" s="23" t="s">
        <v>54</v>
      </c>
      <c r="M26" s="6">
        <v>1</v>
      </c>
      <c r="O26" s="40" t="s">
        <v>56</v>
      </c>
    </row>
    <row r="27" spans="1:15" x14ac:dyDescent="0.3">
      <c r="A27" s="17"/>
      <c r="B27" s="18" t="s">
        <v>23</v>
      </c>
      <c r="C27" s="37" t="s">
        <v>117</v>
      </c>
      <c r="D27" s="38" t="s">
        <v>34</v>
      </c>
      <c r="E27" s="38" t="s">
        <v>35</v>
      </c>
      <c r="F27" s="20">
        <v>42</v>
      </c>
      <c r="G27" s="21" t="s">
        <v>55</v>
      </c>
      <c r="H27" s="20" t="s">
        <v>27</v>
      </c>
      <c r="I27" s="19" t="s">
        <v>57</v>
      </c>
      <c r="J27" s="20" t="s">
        <v>21</v>
      </c>
      <c r="K27" s="23" t="s">
        <v>36</v>
      </c>
      <c r="M27" s="6">
        <v>1</v>
      </c>
    </row>
    <row r="28" spans="1:15" x14ac:dyDescent="0.3">
      <c r="A28" s="17"/>
      <c r="B28" s="18"/>
      <c r="C28" s="19" t="s">
        <v>118</v>
      </c>
      <c r="D28" s="20" t="s">
        <v>58</v>
      </c>
      <c r="E28" s="20" t="s">
        <v>59</v>
      </c>
      <c r="F28" s="20">
        <v>20</v>
      </c>
      <c r="G28" s="21" t="s">
        <v>60</v>
      </c>
      <c r="H28" s="22" t="s">
        <v>27</v>
      </c>
      <c r="I28" s="21" t="s">
        <v>31</v>
      </c>
      <c r="J28" s="20"/>
      <c r="K28" s="23" t="s">
        <v>335</v>
      </c>
      <c r="M28" s="6">
        <v>1</v>
      </c>
    </row>
    <row r="29" spans="1:15" x14ac:dyDescent="0.3">
      <c r="A29" s="17"/>
      <c r="B29" s="18"/>
      <c r="C29" s="19"/>
      <c r="D29" s="20"/>
      <c r="E29" s="20"/>
      <c r="F29" s="20"/>
      <c r="G29" s="39"/>
      <c r="H29" s="20"/>
      <c r="I29" s="21"/>
      <c r="J29" s="22"/>
      <c r="K29" s="23"/>
      <c r="M29" s="6">
        <v>1</v>
      </c>
    </row>
    <row r="30" spans="1:15" ht="27.6" x14ac:dyDescent="0.3">
      <c r="A30" s="17">
        <v>91</v>
      </c>
      <c r="B30" s="18"/>
      <c r="C30" s="41" t="s">
        <v>119</v>
      </c>
      <c r="D30" s="20" t="s">
        <v>41</v>
      </c>
      <c r="E30" s="20" t="s">
        <v>42</v>
      </c>
      <c r="F30" s="52">
        <v>10</v>
      </c>
      <c r="G30" s="21" t="s">
        <v>55</v>
      </c>
      <c r="H30" s="22" t="s">
        <v>27</v>
      </c>
      <c r="I30" s="21" t="s">
        <v>61</v>
      </c>
      <c r="J30" s="22" t="s">
        <v>27</v>
      </c>
      <c r="K30" s="23" t="s">
        <v>220</v>
      </c>
      <c r="M30" s="6">
        <v>1</v>
      </c>
    </row>
    <row r="31" spans="1:15" x14ac:dyDescent="0.3">
      <c r="A31" s="17"/>
      <c r="B31" s="21"/>
      <c r="C31" s="19"/>
      <c r="D31" s="20"/>
      <c r="E31" s="20"/>
      <c r="F31" s="20"/>
      <c r="G31" s="14"/>
      <c r="H31" s="20"/>
      <c r="I31" s="15"/>
      <c r="J31" s="22"/>
      <c r="K31" s="24"/>
      <c r="M31" s="6">
        <v>1</v>
      </c>
    </row>
    <row r="32" spans="1:15" ht="27.6" x14ac:dyDescent="0.3">
      <c r="A32" s="17">
        <v>92</v>
      </c>
      <c r="B32" s="21"/>
      <c r="C32" s="37" t="s">
        <v>116</v>
      </c>
      <c r="D32" s="38" t="s">
        <v>47</v>
      </c>
      <c r="E32" s="38" t="s">
        <v>46</v>
      </c>
      <c r="F32" s="20">
        <v>42</v>
      </c>
      <c r="G32" s="21" t="s">
        <v>49</v>
      </c>
      <c r="H32" s="20" t="s">
        <v>27</v>
      </c>
      <c r="I32" s="19" t="s">
        <v>50</v>
      </c>
      <c r="J32" s="22" t="s">
        <v>21</v>
      </c>
      <c r="K32" s="23" t="s">
        <v>68</v>
      </c>
      <c r="M32" s="6">
        <v>1</v>
      </c>
    </row>
    <row r="33" spans="1:14" x14ac:dyDescent="0.3">
      <c r="A33" s="17"/>
      <c r="B33" s="21"/>
      <c r="C33" s="19"/>
      <c r="D33" s="20"/>
      <c r="E33" s="20"/>
      <c r="F33" s="20"/>
      <c r="G33" s="14"/>
      <c r="H33" s="20"/>
      <c r="I33" s="15"/>
      <c r="J33" s="22"/>
      <c r="K33" s="24"/>
      <c r="M33" s="6">
        <v>1</v>
      </c>
    </row>
    <row r="34" spans="1:14" x14ac:dyDescent="0.3">
      <c r="A34" s="42"/>
      <c r="B34" s="43"/>
      <c r="C34" s="44"/>
      <c r="D34" s="45"/>
      <c r="E34" s="45"/>
      <c r="F34" s="45"/>
      <c r="G34" s="46"/>
      <c r="H34" s="45"/>
      <c r="I34" s="47"/>
      <c r="J34" s="48"/>
      <c r="K34" s="49"/>
      <c r="M34" s="6">
        <v>1</v>
      </c>
    </row>
    <row r="35" spans="1:14" x14ac:dyDescent="0.3">
      <c r="A35" s="17"/>
      <c r="B35" s="21"/>
      <c r="C35" s="19"/>
      <c r="D35" s="20"/>
      <c r="E35" s="20"/>
      <c r="F35" s="20"/>
      <c r="G35" s="14"/>
      <c r="H35" s="20"/>
      <c r="I35" s="15"/>
      <c r="J35" s="22"/>
      <c r="K35" s="23"/>
      <c r="M35" s="6">
        <v>1</v>
      </c>
    </row>
    <row r="36" spans="1:14" x14ac:dyDescent="0.3">
      <c r="A36" s="17"/>
      <c r="B36" s="21"/>
      <c r="C36" s="19" t="s">
        <v>69</v>
      </c>
      <c r="D36" s="20" t="s">
        <v>37</v>
      </c>
      <c r="E36" s="20" t="s">
        <v>211</v>
      </c>
      <c r="F36" s="20">
        <v>30</v>
      </c>
      <c r="G36" s="14" t="s">
        <v>72</v>
      </c>
      <c r="H36" s="20" t="s">
        <v>27</v>
      </c>
      <c r="I36" s="15" t="s">
        <v>73</v>
      </c>
      <c r="J36" s="22" t="s">
        <v>21</v>
      </c>
      <c r="K36" s="23" t="s">
        <v>76</v>
      </c>
      <c r="M36" s="6">
        <v>1</v>
      </c>
    </row>
    <row r="37" spans="1:14" x14ac:dyDescent="0.3">
      <c r="A37" s="17"/>
      <c r="B37" s="21"/>
      <c r="C37" s="19" t="s">
        <v>70</v>
      </c>
      <c r="D37" s="20" t="s">
        <v>37</v>
      </c>
      <c r="E37" s="20" t="s">
        <v>194</v>
      </c>
      <c r="F37" s="20">
        <v>30</v>
      </c>
      <c r="G37" s="14" t="s">
        <v>72</v>
      </c>
      <c r="H37" s="20" t="s">
        <v>27</v>
      </c>
      <c r="I37" s="15" t="s">
        <v>74</v>
      </c>
      <c r="J37" s="22" t="s">
        <v>27</v>
      </c>
      <c r="K37" s="23"/>
      <c r="M37" s="6">
        <v>1</v>
      </c>
      <c r="N37" s="6" t="s">
        <v>331</v>
      </c>
    </row>
    <row r="38" spans="1:14" x14ac:dyDescent="0.3">
      <c r="A38" s="17"/>
      <c r="B38" s="21"/>
      <c r="C38" s="19" t="s">
        <v>71</v>
      </c>
      <c r="D38" s="20" t="s">
        <v>34</v>
      </c>
      <c r="E38" s="20" t="s">
        <v>35</v>
      </c>
      <c r="F38" s="20">
        <v>30</v>
      </c>
      <c r="G38" s="14" t="s">
        <v>72</v>
      </c>
      <c r="H38" s="20" t="s">
        <v>27</v>
      </c>
      <c r="I38" s="15" t="s">
        <v>75</v>
      </c>
      <c r="J38" s="22" t="s">
        <v>21</v>
      </c>
      <c r="K38" s="23"/>
      <c r="M38" s="6">
        <v>1</v>
      </c>
    </row>
    <row r="39" spans="1:14" x14ac:dyDescent="0.3">
      <c r="A39" s="17"/>
      <c r="B39" s="21"/>
      <c r="C39" s="19"/>
      <c r="D39" s="20"/>
      <c r="E39" s="20"/>
      <c r="F39" s="20"/>
      <c r="G39" s="14"/>
      <c r="H39" s="20"/>
      <c r="I39" s="15"/>
      <c r="J39" s="22"/>
      <c r="K39" s="23"/>
      <c r="M39" s="6">
        <v>1</v>
      </c>
    </row>
    <row r="40" spans="1:14" x14ac:dyDescent="0.3">
      <c r="A40" s="17"/>
      <c r="B40" s="21"/>
      <c r="C40" s="19" t="s">
        <v>77</v>
      </c>
      <c r="D40" s="20" t="s">
        <v>37</v>
      </c>
      <c r="E40" s="98" t="s">
        <v>211</v>
      </c>
      <c r="F40" s="20">
        <v>27</v>
      </c>
      <c r="G40" s="14" t="s">
        <v>72</v>
      </c>
      <c r="H40" s="20" t="s">
        <v>27</v>
      </c>
      <c r="I40" s="15" t="s">
        <v>78</v>
      </c>
      <c r="J40" s="22" t="s">
        <v>21</v>
      </c>
      <c r="K40" s="102" t="s">
        <v>345</v>
      </c>
      <c r="M40" s="6">
        <v>1</v>
      </c>
    </row>
    <row r="41" spans="1:14" x14ac:dyDescent="0.3">
      <c r="A41" s="17"/>
      <c r="B41" s="21"/>
      <c r="C41" s="19" t="s">
        <v>79</v>
      </c>
      <c r="D41" s="20" t="s">
        <v>37</v>
      </c>
      <c r="E41" s="20" t="s">
        <v>194</v>
      </c>
      <c r="F41" s="20">
        <v>27</v>
      </c>
      <c r="G41" s="14" t="s">
        <v>72</v>
      </c>
      <c r="H41" s="20" t="s">
        <v>27</v>
      </c>
      <c r="I41" s="15" t="s">
        <v>80</v>
      </c>
      <c r="J41" s="22" t="s">
        <v>27</v>
      </c>
      <c r="K41" s="23"/>
      <c r="M41" s="6">
        <v>1</v>
      </c>
    </row>
    <row r="42" spans="1:14" x14ac:dyDescent="0.3">
      <c r="A42" s="17"/>
      <c r="B42" s="21"/>
      <c r="C42" s="19" t="s">
        <v>81</v>
      </c>
      <c r="D42" s="20" t="s">
        <v>34</v>
      </c>
      <c r="E42" s="20" t="s">
        <v>35</v>
      </c>
      <c r="F42" s="20">
        <v>27</v>
      </c>
      <c r="G42" s="14" t="s">
        <v>72</v>
      </c>
      <c r="H42" s="20" t="s">
        <v>27</v>
      </c>
      <c r="I42" s="15" t="s">
        <v>82</v>
      </c>
      <c r="J42" s="22" t="s">
        <v>21</v>
      </c>
      <c r="K42" s="23"/>
      <c r="M42" s="6">
        <v>1</v>
      </c>
    </row>
    <row r="43" spans="1:14" x14ac:dyDescent="0.3">
      <c r="A43" s="17"/>
      <c r="B43" s="21"/>
      <c r="C43" s="19"/>
      <c r="D43" s="20"/>
      <c r="E43" s="20"/>
      <c r="F43" s="20"/>
      <c r="G43" s="14"/>
      <c r="H43" s="20"/>
      <c r="I43" s="15"/>
      <c r="J43" s="22"/>
      <c r="K43" s="23"/>
      <c r="M43" s="6">
        <v>1</v>
      </c>
    </row>
    <row r="44" spans="1:14" x14ac:dyDescent="0.3">
      <c r="A44" s="17"/>
      <c r="B44" s="21"/>
      <c r="C44" s="19" t="s">
        <v>84</v>
      </c>
      <c r="D44" s="20" t="s">
        <v>37</v>
      </c>
      <c r="E44" s="20" t="s">
        <v>196</v>
      </c>
      <c r="F44" s="20">
        <v>26</v>
      </c>
      <c r="G44" s="14" t="s">
        <v>72</v>
      </c>
      <c r="H44" s="20" t="s">
        <v>27</v>
      </c>
      <c r="I44" s="15" t="s">
        <v>85</v>
      </c>
      <c r="J44" s="22" t="s">
        <v>21</v>
      </c>
      <c r="K44" s="23" t="s">
        <v>83</v>
      </c>
      <c r="M44" s="6">
        <v>1</v>
      </c>
    </row>
    <row r="45" spans="1:14" x14ac:dyDescent="0.3">
      <c r="A45" s="17"/>
      <c r="B45" s="21"/>
      <c r="C45" s="19" t="s">
        <v>86</v>
      </c>
      <c r="D45" s="20" t="s">
        <v>37</v>
      </c>
      <c r="E45" s="20" t="s">
        <v>194</v>
      </c>
      <c r="F45" s="20">
        <v>26</v>
      </c>
      <c r="G45" s="14" t="s">
        <v>72</v>
      </c>
      <c r="H45" s="20" t="s">
        <v>27</v>
      </c>
      <c r="I45" s="15" t="s">
        <v>87</v>
      </c>
      <c r="J45" s="22" t="s">
        <v>27</v>
      </c>
      <c r="K45" s="23"/>
      <c r="M45" s="6">
        <v>1</v>
      </c>
      <c r="N45" s="6" t="s">
        <v>331</v>
      </c>
    </row>
    <row r="46" spans="1:14" x14ac:dyDescent="0.3">
      <c r="A46" s="17"/>
      <c r="B46" s="21"/>
      <c r="C46" s="19" t="s">
        <v>88</v>
      </c>
      <c r="D46" s="20" t="s">
        <v>34</v>
      </c>
      <c r="E46" s="20" t="s">
        <v>35</v>
      </c>
      <c r="F46" s="20">
        <v>26</v>
      </c>
      <c r="G46" s="14" t="s">
        <v>72</v>
      </c>
      <c r="H46" s="20" t="s">
        <v>27</v>
      </c>
      <c r="I46" s="15" t="s">
        <v>89</v>
      </c>
      <c r="J46" s="22" t="s">
        <v>21</v>
      </c>
      <c r="K46" s="23"/>
      <c r="M46" s="6">
        <v>1</v>
      </c>
    </row>
    <row r="47" spans="1:14" x14ac:dyDescent="0.3">
      <c r="A47" s="17"/>
      <c r="B47" s="21"/>
      <c r="C47" s="19"/>
      <c r="D47" s="20"/>
      <c r="E47" s="20"/>
      <c r="F47" s="20"/>
      <c r="G47" s="14"/>
      <c r="H47" s="20"/>
      <c r="I47" s="15"/>
      <c r="J47" s="22"/>
      <c r="K47" s="23"/>
      <c r="M47" s="6">
        <v>1</v>
      </c>
    </row>
    <row r="48" spans="1:14" x14ac:dyDescent="0.3">
      <c r="A48" s="17"/>
      <c r="B48" s="21"/>
      <c r="C48" s="19" t="s">
        <v>104</v>
      </c>
      <c r="D48" s="20" t="s">
        <v>47</v>
      </c>
      <c r="E48" s="20" t="s">
        <v>196</v>
      </c>
      <c r="F48" s="20">
        <v>26</v>
      </c>
      <c r="G48" s="14" t="s">
        <v>72</v>
      </c>
      <c r="H48" s="20" t="s">
        <v>27</v>
      </c>
      <c r="I48" s="15" t="s">
        <v>105</v>
      </c>
      <c r="J48" s="22" t="s">
        <v>21</v>
      </c>
      <c r="K48" s="23">
        <v>4</v>
      </c>
      <c r="M48" s="6">
        <v>1</v>
      </c>
    </row>
    <row r="49" spans="1:14" x14ac:dyDescent="0.3">
      <c r="A49" s="17"/>
      <c r="B49" s="21"/>
      <c r="C49" s="19" t="s">
        <v>106</v>
      </c>
      <c r="D49" s="20" t="s">
        <v>37</v>
      </c>
      <c r="E49" s="20" t="s">
        <v>194</v>
      </c>
      <c r="F49" s="20">
        <v>26</v>
      </c>
      <c r="G49" s="14" t="s">
        <v>72</v>
      </c>
      <c r="H49" s="20" t="s">
        <v>27</v>
      </c>
      <c r="I49" s="15" t="s">
        <v>107</v>
      </c>
      <c r="J49" s="22" t="s">
        <v>27</v>
      </c>
      <c r="K49" s="23"/>
      <c r="M49" s="6">
        <v>1</v>
      </c>
      <c r="N49" s="6" t="s">
        <v>331</v>
      </c>
    </row>
    <row r="50" spans="1:14" x14ac:dyDescent="0.3">
      <c r="A50" s="17"/>
      <c r="B50" s="21"/>
      <c r="C50" s="19" t="s">
        <v>108</v>
      </c>
      <c r="D50" s="20" t="s">
        <v>34</v>
      </c>
      <c r="E50" s="20" t="s">
        <v>35</v>
      </c>
      <c r="F50" s="20">
        <v>26</v>
      </c>
      <c r="G50" s="14" t="s">
        <v>72</v>
      </c>
      <c r="H50" s="20" t="s">
        <v>27</v>
      </c>
      <c r="I50" s="15" t="s">
        <v>109</v>
      </c>
      <c r="J50" s="22" t="s">
        <v>21</v>
      </c>
      <c r="K50" s="23"/>
      <c r="M50" s="6">
        <v>1</v>
      </c>
    </row>
    <row r="51" spans="1:14" x14ac:dyDescent="0.3">
      <c r="A51" s="17"/>
      <c r="B51" s="21"/>
      <c r="C51" s="19"/>
      <c r="D51" s="20"/>
      <c r="E51" s="20"/>
      <c r="F51" s="20"/>
      <c r="G51" s="14"/>
      <c r="H51" s="20"/>
      <c r="I51" s="15"/>
      <c r="J51" s="22"/>
      <c r="K51" s="23"/>
      <c r="M51" s="6">
        <v>1</v>
      </c>
    </row>
    <row r="52" spans="1:14" x14ac:dyDescent="0.3">
      <c r="A52" s="17"/>
      <c r="B52" s="21"/>
      <c r="C52" s="19" t="s">
        <v>110</v>
      </c>
      <c r="D52" s="20" t="s">
        <v>47</v>
      </c>
      <c r="E52" s="20" t="s">
        <v>196</v>
      </c>
      <c r="F52" s="20">
        <v>25</v>
      </c>
      <c r="G52" s="14" t="s">
        <v>72</v>
      </c>
      <c r="H52" s="20" t="s">
        <v>27</v>
      </c>
      <c r="I52" s="15" t="s">
        <v>111</v>
      </c>
      <c r="J52" s="22" t="s">
        <v>21</v>
      </c>
      <c r="K52" s="23">
        <v>4</v>
      </c>
      <c r="M52" s="6">
        <v>1</v>
      </c>
    </row>
    <row r="53" spans="1:14" x14ac:dyDescent="0.3">
      <c r="A53" s="17"/>
      <c r="B53" s="21"/>
      <c r="C53" s="19" t="s">
        <v>112</v>
      </c>
      <c r="D53" s="20" t="s">
        <v>37</v>
      </c>
      <c r="E53" s="20" t="s">
        <v>194</v>
      </c>
      <c r="F53" s="20">
        <v>25</v>
      </c>
      <c r="G53" s="14" t="s">
        <v>72</v>
      </c>
      <c r="H53" s="20" t="s">
        <v>27</v>
      </c>
      <c r="I53" s="15" t="s">
        <v>113</v>
      </c>
      <c r="J53" s="22" t="s">
        <v>27</v>
      </c>
      <c r="K53" s="23"/>
      <c r="M53" s="6">
        <v>1</v>
      </c>
      <c r="N53" s="6" t="s">
        <v>331</v>
      </c>
    </row>
    <row r="54" spans="1:14" x14ac:dyDescent="0.3">
      <c r="A54" s="17"/>
      <c r="B54" s="21"/>
      <c r="C54" s="19" t="s">
        <v>114</v>
      </c>
      <c r="D54" s="20" t="s">
        <v>34</v>
      </c>
      <c r="E54" s="20" t="s">
        <v>35</v>
      </c>
      <c r="F54" s="20">
        <v>25</v>
      </c>
      <c r="G54" s="14" t="s">
        <v>72</v>
      </c>
      <c r="H54" s="20" t="s">
        <v>27</v>
      </c>
      <c r="I54" s="15" t="s">
        <v>115</v>
      </c>
      <c r="J54" s="22" t="s">
        <v>21</v>
      </c>
      <c r="K54" s="23"/>
      <c r="M54" s="6">
        <v>1</v>
      </c>
    </row>
    <row r="55" spans="1:14" x14ac:dyDescent="0.3">
      <c r="A55" s="17"/>
      <c r="B55" s="21"/>
      <c r="C55" s="19"/>
      <c r="D55" s="20"/>
      <c r="E55" s="20"/>
      <c r="F55" s="20"/>
      <c r="G55" s="14"/>
      <c r="H55" s="20"/>
      <c r="I55" s="15"/>
      <c r="J55" s="22"/>
      <c r="K55" s="23"/>
      <c r="M55" s="6">
        <v>1</v>
      </c>
    </row>
    <row r="56" spans="1:14" x14ac:dyDescent="0.3">
      <c r="A56" s="17"/>
      <c r="B56" s="21"/>
      <c r="C56" s="19" t="s">
        <v>224</v>
      </c>
      <c r="D56" s="20" t="s">
        <v>37</v>
      </c>
      <c r="E56" s="20" t="s">
        <v>46</v>
      </c>
      <c r="F56" s="20">
        <v>40</v>
      </c>
      <c r="G56" s="14" t="s">
        <v>72</v>
      </c>
      <c r="H56" s="20" t="s">
        <v>27</v>
      </c>
      <c r="I56" s="15" t="s">
        <v>245</v>
      </c>
      <c r="J56" s="22" t="s">
        <v>21</v>
      </c>
      <c r="K56" s="23" t="s">
        <v>121</v>
      </c>
      <c r="M56" s="6">
        <v>1</v>
      </c>
    </row>
    <row r="57" spans="1:14" x14ac:dyDescent="0.3">
      <c r="A57" s="17"/>
      <c r="B57" s="21"/>
      <c r="C57" s="19" t="s">
        <v>225</v>
      </c>
      <c r="D57" s="20" t="s">
        <v>37</v>
      </c>
      <c r="E57" s="20" t="s">
        <v>194</v>
      </c>
      <c r="F57" s="20">
        <v>40</v>
      </c>
      <c r="G57" s="14" t="s">
        <v>72</v>
      </c>
      <c r="H57" s="20" t="s">
        <v>27</v>
      </c>
      <c r="I57" s="15" t="s">
        <v>246</v>
      </c>
      <c r="J57" s="22" t="s">
        <v>27</v>
      </c>
      <c r="K57" s="23"/>
      <c r="M57" s="6">
        <v>1</v>
      </c>
      <c r="N57" s="6" t="s">
        <v>331</v>
      </c>
    </row>
    <row r="58" spans="1:14" x14ac:dyDescent="0.3">
      <c r="A58" s="17"/>
      <c r="B58" s="21"/>
      <c r="C58" s="19" t="s">
        <v>226</v>
      </c>
      <c r="D58" s="20" t="s">
        <v>34</v>
      </c>
      <c r="E58" s="20" t="s">
        <v>35</v>
      </c>
      <c r="F58" s="20">
        <v>40</v>
      </c>
      <c r="G58" s="14" t="s">
        <v>72</v>
      </c>
      <c r="H58" s="20" t="s">
        <v>27</v>
      </c>
      <c r="I58" s="15" t="s">
        <v>120</v>
      </c>
      <c r="J58" s="22" t="s">
        <v>21</v>
      </c>
      <c r="K58" s="23"/>
      <c r="M58" s="6">
        <v>1</v>
      </c>
    </row>
    <row r="59" spans="1:14" x14ac:dyDescent="0.3">
      <c r="A59" s="17"/>
      <c r="B59" s="21"/>
      <c r="C59" s="19"/>
      <c r="D59" s="20"/>
      <c r="E59" s="20"/>
      <c r="F59" s="20"/>
      <c r="G59" s="14"/>
      <c r="H59" s="20"/>
      <c r="I59" s="15"/>
      <c r="J59" s="22"/>
      <c r="K59" s="23"/>
      <c r="M59" s="6">
        <v>1</v>
      </c>
    </row>
    <row r="60" spans="1:14" x14ac:dyDescent="0.3">
      <c r="A60" s="17"/>
      <c r="B60" s="21"/>
      <c r="C60" s="19" t="s">
        <v>122</v>
      </c>
      <c r="D60" s="20" t="s">
        <v>47</v>
      </c>
      <c r="E60" s="20" t="s">
        <v>196</v>
      </c>
      <c r="F60" s="20">
        <v>40</v>
      </c>
      <c r="G60" s="14" t="s">
        <v>72</v>
      </c>
      <c r="H60" s="20" t="s">
        <v>27</v>
      </c>
      <c r="I60" s="15" t="s">
        <v>247</v>
      </c>
      <c r="J60" s="22" t="s">
        <v>21</v>
      </c>
      <c r="K60" s="23">
        <v>1.8</v>
      </c>
      <c r="M60" s="6">
        <v>1</v>
      </c>
    </row>
    <row r="61" spans="1:14" x14ac:dyDescent="0.3">
      <c r="A61" s="17"/>
      <c r="B61" s="21"/>
      <c r="C61" s="19" t="s">
        <v>123</v>
      </c>
      <c r="D61" s="20" t="s">
        <v>37</v>
      </c>
      <c r="E61" s="20" t="s">
        <v>194</v>
      </c>
      <c r="F61" s="20">
        <v>40</v>
      </c>
      <c r="G61" s="14" t="s">
        <v>72</v>
      </c>
      <c r="H61" s="20" t="s">
        <v>27</v>
      </c>
      <c r="I61" s="15" t="s">
        <v>124</v>
      </c>
      <c r="J61" s="22" t="s">
        <v>27</v>
      </c>
      <c r="K61" s="23"/>
      <c r="M61" s="6">
        <v>1</v>
      </c>
      <c r="N61" s="6" t="s">
        <v>331</v>
      </c>
    </row>
    <row r="62" spans="1:14" x14ac:dyDescent="0.3">
      <c r="A62" s="17"/>
      <c r="B62" s="21"/>
      <c r="C62" s="19" t="s">
        <v>125</v>
      </c>
      <c r="D62" s="20" t="s">
        <v>34</v>
      </c>
      <c r="E62" s="20" t="s">
        <v>35</v>
      </c>
      <c r="F62" s="20">
        <v>40</v>
      </c>
      <c r="G62" s="14" t="s">
        <v>72</v>
      </c>
      <c r="H62" s="20" t="s">
        <v>27</v>
      </c>
      <c r="I62" s="15" t="s">
        <v>126</v>
      </c>
      <c r="J62" s="22" t="s">
        <v>21</v>
      </c>
      <c r="K62" s="23"/>
      <c r="M62" s="6">
        <v>1</v>
      </c>
    </row>
    <row r="63" spans="1:14" x14ac:dyDescent="0.3">
      <c r="A63" s="17"/>
      <c r="B63" s="21"/>
      <c r="C63" s="19"/>
      <c r="D63" s="20"/>
      <c r="E63" s="20"/>
      <c r="F63" s="20"/>
      <c r="G63" s="14"/>
      <c r="H63" s="20"/>
      <c r="I63" s="15"/>
      <c r="J63" s="22"/>
      <c r="K63" s="23"/>
      <c r="M63" s="6">
        <v>1</v>
      </c>
    </row>
    <row r="64" spans="1:14" x14ac:dyDescent="0.3">
      <c r="A64" s="17"/>
      <c r="B64" s="21"/>
      <c r="C64" s="97" t="s">
        <v>349</v>
      </c>
      <c r="D64" s="98" t="s">
        <v>47</v>
      </c>
      <c r="E64" s="98" t="s">
        <v>196</v>
      </c>
      <c r="F64" s="98">
        <v>40</v>
      </c>
      <c r="G64" s="99" t="s">
        <v>72</v>
      </c>
      <c r="H64" s="98" t="s">
        <v>27</v>
      </c>
      <c r="I64" s="100" t="s">
        <v>350</v>
      </c>
      <c r="J64" s="101" t="s">
        <v>27</v>
      </c>
      <c r="K64" s="102">
        <v>1.5</v>
      </c>
    </row>
    <row r="65" spans="1:14" x14ac:dyDescent="0.3">
      <c r="A65" s="17"/>
      <c r="B65" s="21"/>
      <c r="C65" s="19"/>
      <c r="D65" s="20"/>
      <c r="E65" s="20"/>
      <c r="F65" s="20"/>
      <c r="G65" s="14"/>
      <c r="H65" s="20"/>
      <c r="I65" s="15"/>
      <c r="J65" s="22"/>
      <c r="K65" s="23"/>
    </row>
    <row r="66" spans="1:14" x14ac:dyDescent="0.3">
      <c r="A66" s="17"/>
      <c r="B66" s="21"/>
      <c r="C66" s="19" t="s">
        <v>221</v>
      </c>
      <c r="D66" s="20" t="s">
        <v>47</v>
      </c>
      <c r="E66" s="20" t="s">
        <v>196</v>
      </c>
      <c r="F66" s="20">
        <v>38</v>
      </c>
      <c r="G66" s="14" t="s">
        <v>72</v>
      </c>
      <c r="H66" s="20" t="s">
        <v>27</v>
      </c>
      <c r="I66" s="15" t="s">
        <v>127</v>
      </c>
      <c r="J66" s="22" t="s">
        <v>21</v>
      </c>
      <c r="K66" s="23" t="s">
        <v>191</v>
      </c>
      <c r="M66" s="6">
        <v>1</v>
      </c>
    </row>
    <row r="67" spans="1:14" x14ac:dyDescent="0.3">
      <c r="A67" s="17"/>
      <c r="B67" s="21"/>
      <c r="C67" s="19" t="s">
        <v>222</v>
      </c>
      <c r="D67" s="20" t="s">
        <v>47</v>
      </c>
      <c r="E67" s="20" t="s">
        <v>213</v>
      </c>
      <c r="F67" s="20">
        <v>39</v>
      </c>
      <c r="G67" s="14" t="s">
        <v>72</v>
      </c>
      <c r="H67" s="20" t="s">
        <v>27</v>
      </c>
      <c r="I67" s="15" t="s">
        <v>128</v>
      </c>
      <c r="J67" s="22" t="s">
        <v>21</v>
      </c>
      <c r="K67" s="23" t="s">
        <v>192</v>
      </c>
      <c r="M67" s="6">
        <v>1</v>
      </c>
    </row>
    <row r="68" spans="1:14" x14ac:dyDescent="0.3">
      <c r="A68" s="17"/>
      <c r="B68" s="21"/>
      <c r="C68" s="19"/>
      <c r="D68" s="20"/>
      <c r="E68" s="20"/>
      <c r="F68" s="20"/>
      <c r="G68" s="14"/>
      <c r="H68" s="20"/>
      <c r="I68" s="15"/>
      <c r="J68" s="22"/>
      <c r="K68" s="23"/>
      <c r="M68" s="6">
        <v>1</v>
      </c>
    </row>
    <row r="69" spans="1:14" x14ac:dyDescent="0.3">
      <c r="A69" s="17"/>
      <c r="B69" s="21"/>
      <c r="C69" s="19" t="s">
        <v>129</v>
      </c>
      <c r="D69" s="20" t="s">
        <v>47</v>
      </c>
      <c r="E69" s="20" t="s">
        <v>196</v>
      </c>
      <c r="F69" s="20">
        <v>45</v>
      </c>
      <c r="G69" s="14" t="s">
        <v>72</v>
      </c>
      <c r="H69" s="20" t="s">
        <v>27</v>
      </c>
      <c r="I69" s="15" t="s">
        <v>248</v>
      </c>
      <c r="J69" s="22" t="s">
        <v>21</v>
      </c>
      <c r="K69" s="23">
        <v>5</v>
      </c>
      <c r="M69" s="6">
        <v>1</v>
      </c>
    </row>
    <row r="70" spans="1:14" x14ac:dyDescent="0.3">
      <c r="A70" s="17"/>
      <c r="B70" s="21"/>
      <c r="C70" s="19" t="s">
        <v>130</v>
      </c>
      <c r="D70" s="20" t="s">
        <v>37</v>
      </c>
      <c r="E70" s="20" t="s">
        <v>194</v>
      </c>
      <c r="F70" s="20">
        <v>45</v>
      </c>
      <c r="G70" s="14" t="s">
        <v>72</v>
      </c>
      <c r="H70" s="20" t="s">
        <v>27</v>
      </c>
      <c r="I70" s="15" t="s">
        <v>131</v>
      </c>
      <c r="J70" s="22" t="s">
        <v>27</v>
      </c>
      <c r="K70" s="23"/>
      <c r="M70" s="6">
        <v>1</v>
      </c>
      <c r="N70" s="6" t="s">
        <v>331</v>
      </c>
    </row>
    <row r="71" spans="1:14" x14ac:dyDescent="0.3">
      <c r="A71" s="17"/>
      <c r="B71" s="21"/>
      <c r="C71" s="19" t="s">
        <v>132</v>
      </c>
      <c r="D71" s="20" t="s">
        <v>34</v>
      </c>
      <c r="E71" s="20" t="s">
        <v>35</v>
      </c>
      <c r="F71" s="20">
        <v>45</v>
      </c>
      <c r="G71" s="14" t="s">
        <v>72</v>
      </c>
      <c r="H71" s="20" t="s">
        <v>27</v>
      </c>
      <c r="I71" s="15" t="s">
        <v>133</v>
      </c>
      <c r="J71" s="22" t="s">
        <v>21</v>
      </c>
      <c r="K71" s="23"/>
      <c r="M71" s="6">
        <v>1</v>
      </c>
    </row>
    <row r="72" spans="1:14" x14ac:dyDescent="0.3">
      <c r="A72" s="17"/>
      <c r="B72" s="21"/>
      <c r="C72" s="19"/>
      <c r="D72" s="20"/>
      <c r="E72" s="20"/>
      <c r="F72" s="20"/>
      <c r="G72" s="14"/>
      <c r="H72" s="20"/>
      <c r="I72" s="15"/>
      <c r="J72" s="22"/>
      <c r="K72" s="23"/>
      <c r="M72" s="6">
        <v>1</v>
      </c>
    </row>
    <row r="73" spans="1:14" x14ac:dyDescent="0.3">
      <c r="A73" s="17"/>
      <c r="B73" s="21"/>
      <c r="C73" s="19" t="s">
        <v>134</v>
      </c>
      <c r="D73" s="20" t="s">
        <v>47</v>
      </c>
      <c r="E73" s="20" t="s">
        <v>196</v>
      </c>
      <c r="F73" s="20">
        <v>48</v>
      </c>
      <c r="G73" s="14" t="s">
        <v>72</v>
      </c>
      <c r="H73" s="20" t="s">
        <v>27</v>
      </c>
      <c r="I73" s="15" t="s">
        <v>249</v>
      </c>
      <c r="J73" s="22" t="s">
        <v>21</v>
      </c>
      <c r="K73" s="23">
        <v>2.5</v>
      </c>
      <c r="M73" s="6">
        <v>1</v>
      </c>
    </row>
    <row r="74" spans="1:14" x14ac:dyDescent="0.3">
      <c r="A74" s="17"/>
      <c r="B74" s="21"/>
      <c r="C74" s="19" t="s">
        <v>135</v>
      </c>
      <c r="D74" s="20" t="s">
        <v>37</v>
      </c>
      <c r="E74" s="20" t="s">
        <v>194</v>
      </c>
      <c r="F74" s="20">
        <v>48</v>
      </c>
      <c r="G74" s="14" t="s">
        <v>72</v>
      </c>
      <c r="H74" s="20" t="s">
        <v>27</v>
      </c>
      <c r="I74" s="15" t="s">
        <v>250</v>
      </c>
      <c r="J74" s="22" t="s">
        <v>27</v>
      </c>
      <c r="K74" s="23"/>
      <c r="M74" s="6">
        <v>1</v>
      </c>
      <c r="N74" s="6" t="s">
        <v>331</v>
      </c>
    </row>
    <row r="75" spans="1:14" x14ac:dyDescent="0.3">
      <c r="A75" s="17"/>
      <c r="B75" s="21"/>
      <c r="C75" s="19" t="s">
        <v>136</v>
      </c>
      <c r="D75" s="20" t="s">
        <v>34</v>
      </c>
      <c r="E75" s="20" t="s">
        <v>35</v>
      </c>
      <c r="F75" s="20">
        <v>48</v>
      </c>
      <c r="G75" s="14" t="s">
        <v>72</v>
      </c>
      <c r="H75" s="20" t="s">
        <v>27</v>
      </c>
      <c r="I75" s="15" t="s">
        <v>137</v>
      </c>
      <c r="J75" s="22" t="s">
        <v>21</v>
      </c>
      <c r="K75" s="23"/>
      <c r="M75" s="6">
        <v>1</v>
      </c>
    </row>
    <row r="76" spans="1:14" x14ac:dyDescent="0.3">
      <c r="A76" s="17"/>
      <c r="B76" s="21"/>
      <c r="C76" s="19"/>
      <c r="D76" s="20"/>
      <c r="E76" s="20"/>
      <c r="F76" s="20"/>
      <c r="G76" s="14"/>
      <c r="H76" s="20"/>
      <c r="I76" s="15"/>
      <c r="J76" s="22"/>
      <c r="K76" s="23"/>
      <c r="M76" s="6">
        <v>1</v>
      </c>
    </row>
    <row r="77" spans="1:14" x14ac:dyDescent="0.3">
      <c r="A77" s="17"/>
      <c r="B77" s="21"/>
      <c r="C77" s="19" t="s">
        <v>138</v>
      </c>
      <c r="D77" s="20" t="s">
        <v>47</v>
      </c>
      <c r="E77" s="20" t="s">
        <v>46</v>
      </c>
      <c r="F77" s="20">
        <v>42</v>
      </c>
      <c r="G77" s="14" t="s">
        <v>72</v>
      </c>
      <c r="H77" s="20" t="s">
        <v>27</v>
      </c>
      <c r="I77" s="15" t="s">
        <v>244</v>
      </c>
      <c r="J77" s="22" t="s">
        <v>21</v>
      </c>
      <c r="K77" s="23">
        <v>0.75</v>
      </c>
      <c r="M77" s="6">
        <v>1</v>
      </c>
    </row>
    <row r="78" spans="1:14" x14ac:dyDescent="0.3">
      <c r="A78" s="17"/>
      <c r="B78" s="21"/>
      <c r="C78" s="19" t="s">
        <v>139</v>
      </c>
      <c r="D78" s="20" t="s">
        <v>37</v>
      </c>
      <c r="E78" s="20" t="s">
        <v>194</v>
      </c>
      <c r="F78" s="20">
        <v>42</v>
      </c>
      <c r="G78" s="14" t="s">
        <v>72</v>
      </c>
      <c r="H78" s="20" t="s">
        <v>27</v>
      </c>
      <c r="I78" s="15" t="s">
        <v>243</v>
      </c>
      <c r="J78" s="22" t="s">
        <v>27</v>
      </c>
      <c r="K78" s="23"/>
      <c r="M78" s="6">
        <v>1</v>
      </c>
      <c r="N78" s="6" t="s">
        <v>331</v>
      </c>
    </row>
    <row r="79" spans="1:14" x14ac:dyDescent="0.3">
      <c r="A79" s="17"/>
      <c r="B79" s="21"/>
      <c r="C79" s="19" t="s">
        <v>140</v>
      </c>
      <c r="D79" s="20" t="s">
        <v>34</v>
      </c>
      <c r="E79" s="20" t="s">
        <v>35</v>
      </c>
      <c r="F79" s="20">
        <v>42</v>
      </c>
      <c r="G79" s="14" t="s">
        <v>72</v>
      </c>
      <c r="H79" s="20" t="s">
        <v>27</v>
      </c>
      <c r="I79" s="15" t="s">
        <v>141</v>
      </c>
      <c r="J79" s="22" t="s">
        <v>21</v>
      </c>
      <c r="K79" s="23"/>
      <c r="M79" s="6">
        <v>1</v>
      </c>
    </row>
    <row r="80" spans="1:14" x14ac:dyDescent="0.3">
      <c r="A80" s="17"/>
      <c r="B80" s="21"/>
      <c r="C80" s="19"/>
      <c r="D80" s="20"/>
      <c r="E80" s="20"/>
      <c r="F80" s="20"/>
      <c r="G80" s="14"/>
      <c r="H80" s="20"/>
      <c r="I80" s="15"/>
      <c r="J80" s="22"/>
      <c r="K80" s="23"/>
      <c r="M80" s="6">
        <v>1</v>
      </c>
    </row>
    <row r="81" spans="1:14" x14ac:dyDescent="0.3">
      <c r="A81" s="17"/>
      <c r="B81" s="21"/>
      <c r="C81" s="19" t="s">
        <v>142</v>
      </c>
      <c r="D81" s="20" t="s">
        <v>47</v>
      </c>
      <c r="E81" s="20" t="s">
        <v>196</v>
      </c>
      <c r="F81" s="20">
        <v>44</v>
      </c>
      <c r="G81" s="14" t="s">
        <v>72</v>
      </c>
      <c r="H81" s="20" t="s">
        <v>27</v>
      </c>
      <c r="I81" s="15" t="s">
        <v>251</v>
      </c>
      <c r="J81" s="22" t="s">
        <v>21</v>
      </c>
      <c r="K81" s="23">
        <v>5</v>
      </c>
      <c r="M81" s="6">
        <v>1</v>
      </c>
    </row>
    <row r="82" spans="1:14" x14ac:dyDescent="0.3">
      <c r="A82" s="17"/>
      <c r="B82" s="21"/>
      <c r="C82" s="19" t="s">
        <v>143</v>
      </c>
      <c r="D82" s="20" t="s">
        <v>37</v>
      </c>
      <c r="E82" s="20" t="s">
        <v>194</v>
      </c>
      <c r="F82" s="20">
        <v>44</v>
      </c>
      <c r="G82" s="14" t="s">
        <v>72</v>
      </c>
      <c r="H82" s="20" t="s">
        <v>27</v>
      </c>
      <c r="I82" s="15" t="s">
        <v>252</v>
      </c>
      <c r="J82" s="22" t="s">
        <v>27</v>
      </c>
      <c r="K82" s="23"/>
      <c r="M82" s="6">
        <v>1</v>
      </c>
      <c r="N82" s="6" t="s">
        <v>331</v>
      </c>
    </row>
    <row r="83" spans="1:14" x14ac:dyDescent="0.3">
      <c r="A83" s="17"/>
      <c r="B83" s="21"/>
      <c r="C83" s="19" t="s">
        <v>144</v>
      </c>
      <c r="D83" s="20" t="s">
        <v>34</v>
      </c>
      <c r="E83" s="20" t="s">
        <v>35</v>
      </c>
      <c r="F83" s="20">
        <v>44</v>
      </c>
      <c r="G83" s="14" t="s">
        <v>72</v>
      </c>
      <c r="H83" s="20" t="s">
        <v>27</v>
      </c>
      <c r="I83" s="15" t="s">
        <v>145</v>
      </c>
      <c r="J83" s="22" t="s">
        <v>21</v>
      </c>
      <c r="K83" s="23"/>
      <c r="M83" s="6">
        <v>1</v>
      </c>
    </row>
    <row r="84" spans="1:14" x14ac:dyDescent="0.3">
      <c r="A84" s="17"/>
      <c r="B84" s="21"/>
      <c r="C84" s="19"/>
      <c r="D84" s="20"/>
      <c r="E84" s="20"/>
      <c r="F84" s="20"/>
      <c r="G84" s="14"/>
      <c r="H84" s="20"/>
      <c r="I84" s="15"/>
      <c r="J84" s="22"/>
      <c r="K84" s="23"/>
      <c r="M84" s="6">
        <v>1</v>
      </c>
    </row>
    <row r="85" spans="1:14" x14ac:dyDescent="0.3">
      <c r="A85" s="17"/>
      <c r="B85" s="21"/>
      <c r="C85" s="19" t="s">
        <v>146</v>
      </c>
      <c r="D85" s="20" t="s">
        <v>37</v>
      </c>
      <c r="E85" s="20" t="s">
        <v>346</v>
      </c>
      <c r="F85" s="20">
        <v>46</v>
      </c>
      <c r="G85" s="14" t="s">
        <v>72</v>
      </c>
      <c r="H85" s="20" t="s">
        <v>27</v>
      </c>
      <c r="I85" s="15" t="s">
        <v>253</v>
      </c>
      <c r="J85" s="22" t="s">
        <v>21</v>
      </c>
      <c r="K85" s="102" t="s">
        <v>347</v>
      </c>
      <c r="M85" s="6">
        <v>1</v>
      </c>
    </row>
    <row r="86" spans="1:14" x14ac:dyDescent="0.3">
      <c r="A86" s="17"/>
      <c r="B86" s="21"/>
      <c r="C86" s="19" t="s">
        <v>147</v>
      </c>
      <c r="D86" s="20" t="s">
        <v>37</v>
      </c>
      <c r="E86" s="20" t="s">
        <v>194</v>
      </c>
      <c r="F86" s="20">
        <v>46</v>
      </c>
      <c r="G86" s="14" t="s">
        <v>72</v>
      </c>
      <c r="H86" s="20" t="s">
        <v>27</v>
      </c>
      <c r="I86" s="15" t="s">
        <v>254</v>
      </c>
      <c r="J86" s="22" t="s">
        <v>27</v>
      </c>
      <c r="K86" s="23"/>
      <c r="M86" s="6">
        <v>1</v>
      </c>
      <c r="N86" s="6" t="s">
        <v>331</v>
      </c>
    </row>
    <row r="87" spans="1:14" x14ac:dyDescent="0.3">
      <c r="A87" s="17"/>
      <c r="B87" s="21"/>
      <c r="C87" s="19" t="s">
        <v>148</v>
      </c>
      <c r="D87" s="20" t="s">
        <v>34</v>
      </c>
      <c r="E87" s="20" t="s">
        <v>35</v>
      </c>
      <c r="F87" s="20">
        <v>46</v>
      </c>
      <c r="G87" s="14" t="s">
        <v>72</v>
      </c>
      <c r="H87" s="20" t="s">
        <v>27</v>
      </c>
      <c r="I87" s="15" t="s">
        <v>149</v>
      </c>
      <c r="J87" s="22" t="s">
        <v>21</v>
      </c>
      <c r="K87" s="23"/>
      <c r="M87" s="6">
        <v>1</v>
      </c>
    </row>
    <row r="88" spans="1:14" x14ac:dyDescent="0.3">
      <c r="A88" s="17"/>
      <c r="B88" s="21"/>
      <c r="C88" s="19"/>
      <c r="D88" s="20"/>
      <c r="E88" s="20"/>
      <c r="F88" s="20"/>
      <c r="G88" s="14"/>
      <c r="H88" s="20"/>
      <c r="I88" s="15"/>
      <c r="J88" s="22"/>
      <c r="K88" s="23"/>
      <c r="M88" s="6">
        <v>1</v>
      </c>
    </row>
    <row r="89" spans="1:14" x14ac:dyDescent="0.3">
      <c r="A89" s="17"/>
      <c r="B89" s="21"/>
      <c r="C89" s="19" t="s">
        <v>223</v>
      </c>
      <c r="D89" s="20" t="s">
        <v>47</v>
      </c>
      <c r="E89" s="20" t="s">
        <v>196</v>
      </c>
      <c r="F89" s="20">
        <v>44</v>
      </c>
      <c r="G89" s="14" t="s">
        <v>72</v>
      </c>
      <c r="H89" s="20" t="s">
        <v>27</v>
      </c>
      <c r="I89" s="15" t="s">
        <v>232</v>
      </c>
      <c r="J89" s="22" t="s">
        <v>27</v>
      </c>
      <c r="K89" s="23" t="s">
        <v>150</v>
      </c>
      <c r="M89" s="6">
        <v>1</v>
      </c>
      <c r="N89" s="6" t="s">
        <v>331</v>
      </c>
    </row>
    <row r="90" spans="1:14" x14ac:dyDescent="0.3">
      <c r="A90" s="17"/>
      <c r="B90" s="21"/>
      <c r="C90" s="19"/>
      <c r="D90" s="20"/>
      <c r="E90" s="20"/>
      <c r="F90" s="20"/>
      <c r="G90" s="14"/>
      <c r="H90" s="20"/>
      <c r="I90" s="15"/>
      <c r="J90" s="22"/>
      <c r="K90" s="23"/>
      <c r="M90" s="6">
        <v>1</v>
      </c>
    </row>
    <row r="91" spans="1:14" x14ac:dyDescent="0.3">
      <c r="A91" s="17"/>
      <c r="B91" s="21"/>
      <c r="C91" s="19" t="s">
        <v>229</v>
      </c>
      <c r="D91" s="20" t="s">
        <v>47</v>
      </c>
      <c r="E91" s="20" t="s">
        <v>196</v>
      </c>
      <c r="F91" s="20">
        <v>48</v>
      </c>
      <c r="G91" s="14" t="s">
        <v>72</v>
      </c>
      <c r="H91" s="20" t="s">
        <v>27</v>
      </c>
      <c r="I91" s="55" t="s">
        <v>255</v>
      </c>
      <c r="J91" s="22" t="s">
        <v>21</v>
      </c>
      <c r="K91" s="23">
        <v>5.5</v>
      </c>
      <c r="M91" s="6">
        <v>1</v>
      </c>
    </row>
    <row r="92" spans="1:14" x14ac:dyDescent="0.3">
      <c r="A92" s="17"/>
      <c r="B92" s="21"/>
      <c r="C92" s="19" t="s">
        <v>231</v>
      </c>
      <c r="D92" s="20" t="s">
        <v>37</v>
      </c>
      <c r="E92" s="20" t="s">
        <v>194</v>
      </c>
      <c r="F92" s="20">
        <v>48</v>
      </c>
      <c r="G92" s="14" t="s">
        <v>72</v>
      </c>
      <c r="H92" s="20" t="s">
        <v>27</v>
      </c>
      <c r="I92" s="15" t="s">
        <v>256</v>
      </c>
      <c r="J92" s="22" t="s">
        <v>27</v>
      </c>
      <c r="K92" s="23"/>
      <c r="M92" s="6">
        <v>1</v>
      </c>
      <c r="N92" s="6" t="s">
        <v>331</v>
      </c>
    </row>
    <row r="93" spans="1:14" x14ac:dyDescent="0.3">
      <c r="A93" s="17"/>
      <c r="B93" s="21"/>
      <c r="C93" s="19"/>
      <c r="D93" s="20"/>
      <c r="E93" s="20"/>
      <c r="F93" s="20"/>
      <c r="G93" s="14"/>
      <c r="H93" s="20"/>
      <c r="I93" s="15"/>
      <c r="J93" s="22"/>
      <c r="K93" s="23"/>
      <c r="M93" s="6">
        <v>1</v>
      </c>
    </row>
    <row r="94" spans="1:14" x14ac:dyDescent="0.3">
      <c r="A94" s="17"/>
      <c r="B94" s="21"/>
      <c r="C94" s="19" t="s">
        <v>230</v>
      </c>
      <c r="D94" s="20" t="s">
        <v>47</v>
      </c>
      <c r="E94" s="20" t="s">
        <v>196</v>
      </c>
      <c r="F94" s="20">
        <v>48</v>
      </c>
      <c r="G94" s="14" t="s">
        <v>72</v>
      </c>
      <c r="H94" s="20" t="s">
        <v>27</v>
      </c>
      <c r="I94" s="55" t="s">
        <v>257</v>
      </c>
      <c r="J94" s="22" t="s">
        <v>27</v>
      </c>
      <c r="K94" s="23">
        <v>4</v>
      </c>
      <c r="M94" s="6">
        <v>1</v>
      </c>
    </row>
    <row r="95" spans="1:14" x14ac:dyDescent="0.3">
      <c r="A95" s="17"/>
      <c r="B95" s="21"/>
      <c r="C95" s="19"/>
      <c r="D95" s="20"/>
      <c r="E95" s="20"/>
      <c r="F95" s="20"/>
      <c r="G95" s="14"/>
      <c r="H95" s="20"/>
      <c r="I95" s="15"/>
      <c r="J95" s="22"/>
      <c r="K95" s="23"/>
      <c r="M95" s="6">
        <v>1</v>
      </c>
    </row>
    <row r="96" spans="1:14" x14ac:dyDescent="0.3">
      <c r="A96" s="17"/>
      <c r="B96" s="21"/>
      <c r="C96" s="97" t="s">
        <v>351</v>
      </c>
      <c r="D96" s="98" t="s">
        <v>47</v>
      </c>
      <c r="E96" s="98" t="s">
        <v>196</v>
      </c>
      <c r="F96" s="98">
        <v>48</v>
      </c>
      <c r="G96" s="99" t="s">
        <v>72</v>
      </c>
      <c r="H96" s="98" t="s">
        <v>27</v>
      </c>
      <c r="I96" s="100" t="s">
        <v>352</v>
      </c>
      <c r="J96" s="101" t="s">
        <v>27</v>
      </c>
      <c r="K96" s="102">
        <v>4</v>
      </c>
      <c r="M96" s="6">
        <v>1</v>
      </c>
    </row>
    <row r="97" spans="1:14" x14ac:dyDescent="0.3">
      <c r="A97" s="17"/>
      <c r="B97" s="21"/>
      <c r="C97" s="19"/>
      <c r="D97" s="20"/>
      <c r="E97" s="20"/>
      <c r="F97" s="20"/>
      <c r="G97" s="14"/>
      <c r="H97" s="20"/>
      <c r="I97" s="15"/>
      <c r="J97" s="22"/>
      <c r="K97" s="23"/>
      <c r="M97" s="6">
        <v>1</v>
      </c>
    </row>
    <row r="98" spans="1:14" x14ac:dyDescent="0.3">
      <c r="A98" s="17"/>
      <c r="B98" s="21"/>
      <c r="C98" s="98" t="s">
        <v>353</v>
      </c>
      <c r="D98" s="98" t="s">
        <v>47</v>
      </c>
      <c r="E98" s="98" t="s">
        <v>196</v>
      </c>
      <c r="F98" s="98">
        <v>48</v>
      </c>
      <c r="G98" s="99" t="s">
        <v>72</v>
      </c>
      <c r="H98" s="98" t="s">
        <v>27</v>
      </c>
      <c r="I98" s="100" t="s">
        <v>354</v>
      </c>
      <c r="J98" s="101" t="s">
        <v>27</v>
      </c>
      <c r="K98" s="102" t="s">
        <v>355</v>
      </c>
      <c r="M98" s="6">
        <v>1</v>
      </c>
    </row>
    <row r="99" spans="1:14" x14ac:dyDescent="0.3">
      <c r="A99" s="17"/>
      <c r="B99" s="21"/>
      <c r="C99" s="19"/>
      <c r="D99" s="20"/>
      <c r="E99" s="20"/>
      <c r="F99" s="20"/>
      <c r="G99" s="14"/>
      <c r="H99" s="20"/>
      <c r="I99" s="15"/>
      <c r="J99" s="22"/>
      <c r="K99" s="23"/>
      <c r="M99" s="6">
        <v>1</v>
      </c>
    </row>
    <row r="100" spans="1:14" x14ac:dyDescent="0.3">
      <c r="A100" s="17"/>
      <c r="B100" s="21"/>
      <c r="C100" s="19"/>
      <c r="D100" s="20"/>
      <c r="E100" s="20"/>
      <c r="F100" s="20"/>
      <c r="G100" s="14"/>
      <c r="H100" s="20"/>
      <c r="I100" s="15"/>
      <c r="J100" s="22"/>
      <c r="K100" s="23"/>
      <c r="M100" s="6">
        <v>1</v>
      </c>
    </row>
    <row r="101" spans="1:14" x14ac:dyDescent="0.3">
      <c r="A101" s="17"/>
      <c r="B101" s="21"/>
      <c r="C101" s="53" t="s">
        <v>151</v>
      </c>
      <c r="D101" s="20"/>
      <c r="E101" s="20"/>
      <c r="F101" s="20"/>
      <c r="G101" s="14"/>
      <c r="H101" s="20"/>
      <c r="I101" s="15"/>
      <c r="J101" s="22"/>
      <c r="K101" s="23"/>
      <c r="M101" s="6">
        <v>1</v>
      </c>
    </row>
    <row r="102" spans="1:14" x14ac:dyDescent="0.3">
      <c r="A102" s="17"/>
      <c r="B102" s="21"/>
      <c r="C102" s="19" t="s">
        <v>152</v>
      </c>
      <c r="D102" s="20" t="s">
        <v>47</v>
      </c>
      <c r="E102" s="20" t="s">
        <v>213</v>
      </c>
      <c r="F102" s="20">
        <v>50</v>
      </c>
      <c r="G102" s="14" t="s">
        <v>72</v>
      </c>
      <c r="H102" s="20" t="s">
        <v>27</v>
      </c>
      <c r="I102" s="19" t="s">
        <v>169</v>
      </c>
      <c r="J102" s="22" t="s">
        <v>27</v>
      </c>
      <c r="K102" s="23" t="s">
        <v>215</v>
      </c>
      <c r="M102" s="6">
        <v>1</v>
      </c>
      <c r="N102" s="6" t="s">
        <v>333</v>
      </c>
    </row>
    <row r="103" spans="1:14" x14ac:dyDescent="0.3">
      <c r="A103" s="17"/>
      <c r="B103" s="21"/>
      <c r="C103" s="19" t="s">
        <v>161</v>
      </c>
      <c r="D103" s="20" t="s">
        <v>214</v>
      </c>
      <c r="E103" s="20" t="s">
        <v>197</v>
      </c>
      <c r="F103" s="20">
        <v>48</v>
      </c>
      <c r="G103" s="14" t="s">
        <v>72</v>
      </c>
      <c r="H103" s="20" t="s">
        <v>27</v>
      </c>
      <c r="I103" s="19" t="s">
        <v>233</v>
      </c>
      <c r="J103" s="22" t="s">
        <v>27</v>
      </c>
      <c r="K103" s="23" t="s">
        <v>162</v>
      </c>
      <c r="M103" s="6">
        <v>1</v>
      </c>
    </row>
    <row r="104" spans="1:14" x14ac:dyDescent="0.3">
      <c r="A104" s="17"/>
      <c r="B104" s="21"/>
      <c r="C104" s="19" t="s">
        <v>153</v>
      </c>
      <c r="D104" s="20" t="s">
        <v>47</v>
      </c>
      <c r="E104" s="20" t="s">
        <v>213</v>
      </c>
      <c r="F104" s="20">
        <v>48</v>
      </c>
      <c r="G104" s="14" t="s">
        <v>72</v>
      </c>
      <c r="H104" s="20" t="s">
        <v>27</v>
      </c>
      <c r="I104" s="19" t="s">
        <v>170</v>
      </c>
      <c r="J104" s="22" t="s">
        <v>27</v>
      </c>
      <c r="K104" s="23" t="s">
        <v>217</v>
      </c>
      <c r="M104" s="6">
        <v>1</v>
      </c>
    </row>
    <row r="105" spans="1:14" x14ac:dyDescent="0.3">
      <c r="A105" s="17"/>
      <c r="B105" s="21"/>
      <c r="C105" s="19" t="s">
        <v>330</v>
      </c>
      <c r="D105" s="20" t="s">
        <v>214</v>
      </c>
      <c r="E105" s="20" t="s">
        <v>197</v>
      </c>
      <c r="F105" s="20">
        <v>48</v>
      </c>
      <c r="G105" s="14" t="s">
        <v>72</v>
      </c>
      <c r="H105" s="20" t="s">
        <v>27</v>
      </c>
      <c r="I105" s="19" t="s">
        <v>240</v>
      </c>
      <c r="J105" s="22" t="s">
        <v>27</v>
      </c>
      <c r="K105" s="23" t="s">
        <v>258</v>
      </c>
      <c r="M105" s="6">
        <v>1</v>
      </c>
      <c r="N105" s="6" t="s">
        <v>271</v>
      </c>
    </row>
    <row r="106" spans="1:14" x14ac:dyDescent="0.3">
      <c r="A106" s="17"/>
      <c r="B106" s="21"/>
      <c r="C106" s="19" t="s">
        <v>154</v>
      </c>
      <c r="D106" s="20" t="s">
        <v>47</v>
      </c>
      <c r="E106" s="20" t="s">
        <v>213</v>
      </c>
      <c r="F106" s="20">
        <f>26+5</f>
        <v>31</v>
      </c>
      <c r="G106" s="14" t="s">
        <v>72</v>
      </c>
      <c r="H106" s="20" t="s">
        <v>27</v>
      </c>
      <c r="I106" s="19" t="s">
        <v>171</v>
      </c>
      <c r="J106" s="22" t="s">
        <v>27</v>
      </c>
      <c r="K106" s="23" t="s">
        <v>216</v>
      </c>
      <c r="M106" s="6">
        <v>1</v>
      </c>
    </row>
    <row r="107" spans="1:14" x14ac:dyDescent="0.3">
      <c r="A107" s="17"/>
      <c r="B107" s="21"/>
      <c r="C107" s="19" t="s">
        <v>163</v>
      </c>
      <c r="D107" s="20" t="s">
        <v>214</v>
      </c>
      <c r="E107" s="20" t="s">
        <v>197</v>
      </c>
      <c r="F107" s="20">
        <v>29</v>
      </c>
      <c r="G107" s="14" t="s">
        <v>72</v>
      </c>
      <c r="H107" s="20" t="s">
        <v>27</v>
      </c>
      <c r="I107" s="19" t="s">
        <v>234</v>
      </c>
      <c r="J107" s="22" t="s">
        <v>27</v>
      </c>
      <c r="K107" s="23" t="s">
        <v>162</v>
      </c>
      <c r="M107" s="6">
        <v>1</v>
      </c>
    </row>
    <row r="108" spans="1:14" x14ac:dyDescent="0.3">
      <c r="A108" s="17"/>
      <c r="B108" s="21"/>
      <c r="C108" s="19" t="s">
        <v>155</v>
      </c>
      <c r="D108" s="20" t="s">
        <v>47</v>
      </c>
      <c r="E108" s="20" t="s">
        <v>213</v>
      </c>
      <c r="F108" s="20">
        <v>40</v>
      </c>
      <c r="G108" s="14" t="s">
        <v>72</v>
      </c>
      <c r="H108" s="20" t="s">
        <v>27</v>
      </c>
      <c r="I108" s="19" t="s">
        <v>172</v>
      </c>
      <c r="J108" s="22" t="s">
        <v>27</v>
      </c>
      <c r="K108" s="23" t="s">
        <v>216</v>
      </c>
      <c r="M108" s="6">
        <v>1</v>
      </c>
    </row>
    <row r="109" spans="1:14" x14ac:dyDescent="0.3">
      <c r="A109" s="17"/>
      <c r="B109" s="21"/>
      <c r="C109" s="19" t="s">
        <v>164</v>
      </c>
      <c r="D109" s="20" t="s">
        <v>214</v>
      </c>
      <c r="E109" s="20" t="s">
        <v>197</v>
      </c>
      <c r="F109" s="20">
        <v>40</v>
      </c>
      <c r="G109" s="14" t="s">
        <v>72</v>
      </c>
      <c r="H109" s="20" t="s">
        <v>27</v>
      </c>
      <c r="I109" s="19" t="s">
        <v>235</v>
      </c>
      <c r="J109" s="22" t="s">
        <v>27</v>
      </c>
      <c r="K109" s="23" t="s">
        <v>162</v>
      </c>
      <c r="M109" s="6">
        <v>1</v>
      </c>
    </row>
    <row r="110" spans="1:14" x14ac:dyDescent="0.3">
      <c r="A110" s="17"/>
      <c r="B110" s="21"/>
      <c r="C110" s="19" t="s">
        <v>156</v>
      </c>
      <c r="D110" s="20" t="s">
        <v>47</v>
      </c>
      <c r="E110" s="20" t="s">
        <v>213</v>
      </c>
      <c r="F110" s="20">
        <v>42</v>
      </c>
      <c r="G110" s="14" t="s">
        <v>72</v>
      </c>
      <c r="H110" s="20" t="s">
        <v>27</v>
      </c>
      <c r="I110" s="19" t="s">
        <v>173</v>
      </c>
      <c r="J110" s="22" t="s">
        <v>27</v>
      </c>
      <c r="K110" s="23" t="s">
        <v>216</v>
      </c>
      <c r="M110" s="6">
        <v>1</v>
      </c>
    </row>
    <row r="111" spans="1:14" x14ac:dyDescent="0.3">
      <c r="A111" s="17"/>
      <c r="B111" s="21"/>
      <c r="C111" s="19" t="s">
        <v>165</v>
      </c>
      <c r="D111" s="20" t="s">
        <v>214</v>
      </c>
      <c r="E111" s="20" t="s">
        <v>197</v>
      </c>
      <c r="F111" s="20">
        <v>42</v>
      </c>
      <c r="G111" s="14" t="s">
        <v>72</v>
      </c>
      <c r="H111" s="20" t="s">
        <v>27</v>
      </c>
      <c r="I111" s="19" t="s">
        <v>236</v>
      </c>
      <c r="J111" s="22" t="s">
        <v>27</v>
      </c>
      <c r="K111" s="23" t="s">
        <v>162</v>
      </c>
      <c r="M111" s="6">
        <v>1</v>
      </c>
    </row>
    <row r="112" spans="1:14" x14ac:dyDescent="0.3">
      <c r="A112" s="17"/>
      <c r="B112" s="21"/>
      <c r="C112" s="19" t="s">
        <v>157</v>
      </c>
      <c r="D112" s="20" t="s">
        <v>47</v>
      </c>
      <c r="E112" s="20" t="s">
        <v>213</v>
      </c>
      <c r="F112" s="20">
        <v>42</v>
      </c>
      <c r="G112" s="14" t="s">
        <v>72</v>
      </c>
      <c r="H112" s="20" t="s">
        <v>27</v>
      </c>
      <c r="I112" s="19" t="s">
        <v>174</v>
      </c>
      <c r="J112" s="22" t="s">
        <v>27</v>
      </c>
      <c r="K112" s="23" t="s">
        <v>215</v>
      </c>
      <c r="M112" s="6">
        <v>1</v>
      </c>
    </row>
    <row r="113" spans="1:13" x14ac:dyDescent="0.3">
      <c r="A113" s="17"/>
      <c r="B113" s="21"/>
      <c r="C113" s="19" t="s">
        <v>166</v>
      </c>
      <c r="D113" s="20" t="s">
        <v>214</v>
      </c>
      <c r="E113" s="20" t="s">
        <v>197</v>
      </c>
      <c r="F113" s="20">
        <v>42</v>
      </c>
      <c r="G113" s="14" t="s">
        <v>72</v>
      </c>
      <c r="H113" s="20" t="s">
        <v>27</v>
      </c>
      <c r="I113" s="19" t="s">
        <v>237</v>
      </c>
      <c r="J113" s="22" t="s">
        <v>27</v>
      </c>
      <c r="K113" s="23" t="s">
        <v>162</v>
      </c>
      <c r="M113" s="6">
        <v>1</v>
      </c>
    </row>
    <row r="114" spans="1:13" x14ac:dyDescent="0.3">
      <c r="A114" s="17"/>
      <c r="B114" s="21"/>
      <c r="C114" s="19" t="s">
        <v>158</v>
      </c>
      <c r="D114" s="20" t="s">
        <v>47</v>
      </c>
      <c r="E114" s="20" t="s">
        <v>213</v>
      </c>
      <c r="F114" s="20">
        <v>50</v>
      </c>
      <c r="G114" s="14" t="s">
        <v>72</v>
      </c>
      <c r="H114" s="20" t="s">
        <v>27</v>
      </c>
      <c r="I114" s="19" t="s">
        <v>175</v>
      </c>
      <c r="J114" s="22" t="s">
        <v>27</v>
      </c>
      <c r="K114" s="23" t="s">
        <v>215</v>
      </c>
      <c r="M114" s="6">
        <v>1</v>
      </c>
    </row>
    <row r="115" spans="1:13" x14ac:dyDescent="0.3">
      <c r="A115" s="17"/>
      <c r="B115" s="21"/>
      <c r="C115" s="19" t="s">
        <v>167</v>
      </c>
      <c r="D115" s="20" t="s">
        <v>214</v>
      </c>
      <c r="E115" s="20" t="s">
        <v>197</v>
      </c>
      <c r="F115" s="20">
        <v>43</v>
      </c>
      <c r="G115" s="14" t="s">
        <v>72</v>
      </c>
      <c r="H115" s="20" t="s">
        <v>27</v>
      </c>
      <c r="I115" s="19" t="s">
        <v>238</v>
      </c>
      <c r="J115" s="22" t="s">
        <v>27</v>
      </c>
      <c r="K115" s="23" t="s">
        <v>162</v>
      </c>
      <c r="M115" s="6">
        <v>1</v>
      </c>
    </row>
    <row r="116" spans="1:13" x14ac:dyDescent="0.3">
      <c r="A116" s="17"/>
      <c r="B116" s="21"/>
      <c r="C116" s="19" t="s">
        <v>159</v>
      </c>
      <c r="D116" s="20" t="s">
        <v>47</v>
      </c>
      <c r="E116" s="20" t="s">
        <v>213</v>
      </c>
      <c r="F116" s="20">
        <v>43</v>
      </c>
      <c r="G116" s="14" t="s">
        <v>72</v>
      </c>
      <c r="H116" s="20" t="s">
        <v>27</v>
      </c>
      <c r="I116" s="19" t="s">
        <v>176</v>
      </c>
      <c r="J116" s="22" t="s">
        <v>27</v>
      </c>
      <c r="K116" s="23" t="s">
        <v>216</v>
      </c>
      <c r="M116" s="6">
        <v>1</v>
      </c>
    </row>
    <row r="117" spans="1:13" x14ac:dyDescent="0.3">
      <c r="A117" s="17"/>
      <c r="B117" s="21"/>
      <c r="C117" s="19" t="s">
        <v>168</v>
      </c>
      <c r="D117" s="20" t="s">
        <v>214</v>
      </c>
      <c r="E117" s="20" t="s">
        <v>197</v>
      </c>
      <c r="F117" s="20">
        <v>41</v>
      </c>
      <c r="G117" s="14" t="s">
        <v>72</v>
      </c>
      <c r="H117" s="20" t="s">
        <v>27</v>
      </c>
      <c r="I117" s="19" t="s">
        <v>239</v>
      </c>
      <c r="J117" s="22" t="s">
        <v>27</v>
      </c>
      <c r="K117" s="23" t="s">
        <v>162</v>
      </c>
      <c r="M117" s="6">
        <v>1</v>
      </c>
    </row>
    <row r="118" spans="1:13" x14ac:dyDescent="0.3">
      <c r="A118" s="17"/>
      <c r="B118" s="21"/>
      <c r="C118" s="19" t="s">
        <v>160</v>
      </c>
      <c r="D118" s="20" t="s">
        <v>47</v>
      </c>
      <c r="E118" s="20" t="s">
        <v>213</v>
      </c>
      <c r="F118" s="20">
        <v>50</v>
      </c>
      <c r="G118" s="14" t="s">
        <v>72</v>
      </c>
      <c r="H118" s="20" t="s">
        <v>27</v>
      </c>
      <c r="I118" s="19" t="s">
        <v>177</v>
      </c>
      <c r="J118" s="22" t="s">
        <v>27</v>
      </c>
      <c r="K118" s="23" t="s">
        <v>215</v>
      </c>
      <c r="M118" s="6">
        <v>1</v>
      </c>
    </row>
    <row r="119" spans="1:13" x14ac:dyDescent="0.3">
      <c r="A119" s="17"/>
      <c r="B119" s="21"/>
      <c r="C119" s="19" t="s">
        <v>193</v>
      </c>
      <c r="D119" s="20" t="s">
        <v>214</v>
      </c>
      <c r="E119" s="20" t="s">
        <v>197</v>
      </c>
      <c r="F119" s="20">
        <v>48</v>
      </c>
      <c r="G119" s="14" t="s">
        <v>72</v>
      </c>
      <c r="H119" s="20" t="s">
        <v>27</v>
      </c>
      <c r="I119" s="19" t="s">
        <v>240</v>
      </c>
      <c r="J119" s="22" t="s">
        <v>27</v>
      </c>
      <c r="K119" s="23" t="s">
        <v>162</v>
      </c>
      <c r="M119" s="6">
        <v>1</v>
      </c>
    </row>
    <row r="120" spans="1:13" x14ac:dyDescent="0.3">
      <c r="A120" s="17"/>
      <c r="B120" s="21"/>
      <c r="C120" s="97" t="s">
        <v>356</v>
      </c>
      <c r="D120" s="98" t="s">
        <v>47</v>
      </c>
      <c r="E120" s="98" t="s">
        <v>213</v>
      </c>
      <c r="F120" s="98">
        <v>50</v>
      </c>
      <c r="G120" s="99" t="s">
        <v>72</v>
      </c>
      <c r="H120" s="98" t="s">
        <v>27</v>
      </c>
      <c r="I120" s="97" t="s">
        <v>177</v>
      </c>
      <c r="J120" s="101" t="s">
        <v>27</v>
      </c>
      <c r="K120" s="102"/>
    </row>
    <row r="121" spans="1:13" x14ac:dyDescent="0.3">
      <c r="A121" s="17"/>
      <c r="B121" s="21"/>
      <c r="C121" s="97" t="s">
        <v>357</v>
      </c>
      <c r="D121" s="98" t="s">
        <v>214</v>
      </c>
      <c r="E121" s="98" t="s">
        <v>197</v>
      </c>
      <c r="F121" s="98">
        <v>48</v>
      </c>
      <c r="G121" s="99" t="s">
        <v>72</v>
      </c>
      <c r="H121" s="98" t="s">
        <v>27</v>
      </c>
      <c r="I121" s="97" t="s">
        <v>240</v>
      </c>
      <c r="J121" s="101" t="s">
        <v>27</v>
      </c>
      <c r="K121" s="102" t="s">
        <v>162</v>
      </c>
    </row>
    <row r="122" spans="1:13" x14ac:dyDescent="0.3">
      <c r="A122" s="17"/>
      <c r="B122" s="21"/>
      <c r="C122" s="97" t="s">
        <v>358</v>
      </c>
      <c r="D122" s="98" t="s">
        <v>47</v>
      </c>
      <c r="E122" s="98" t="s">
        <v>213</v>
      </c>
      <c r="F122" s="98">
        <v>50</v>
      </c>
      <c r="G122" s="99" t="s">
        <v>72</v>
      </c>
      <c r="H122" s="98" t="s">
        <v>27</v>
      </c>
      <c r="I122" s="97" t="s">
        <v>177</v>
      </c>
      <c r="J122" s="101" t="s">
        <v>27</v>
      </c>
      <c r="K122" s="102" t="s">
        <v>359</v>
      </c>
    </row>
    <row r="123" spans="1:13" x14ac:dyDescent="0.3">
      <c r="A123" s="17"/>
      <c r="B123" s="21"/>
      <c r="C123" s="97" t="s">
        <v>360</v>
      </c>
      <c r="D123" s="98" t="s">
        <v>214</v>
      </c>
      <c r="E123" s="98" t="s">
        <v>197</v>
      </c>
      <c r="F123" s="98">
        <v>48</v>
      </c>
      <c r="G123" s="99" t="s">
        <v>72</v>
      </c>
      <c r="H123" s="98" t="s">
        <v>27</v>
      </c>
      <c r="I123" s="97" t="s">
        <v>240</v>
      </c>
      <c r="J123" s="101" t="s">
        <v>27</v>
      </c>
      <c r="K123" s="102" t="s">
        <v>162</v>
      </c>
    </row>
    <row r="124" spans="1:13" x14ac:dyDescent="0.3">
      <c r="A124" s="17"/>
      <c r="B124" s="21"/>
      <c r="C124" s="19"/>
      <c r="D124" s="20"/>
      <c r="E124" s="20"/>
      <c r="F124" s="20"/>
      <c r="G124" s="14"/>
      <c r="H124" s="20"/>
      <c r="I124" s="19"/>
      <c r="J124" s="22"/>
      <c r="K124" s="23"/>
    </row>
    <row r="125" spans="1:13" x14ac:dyDescent="0.3">
      <c r="A125" s="17"/>
      <c r="B125" s="21"/>
      <c r="C125" s="19"/>
      <c r="D125" s="20"/>
      <c r="E125" s="20"/>
      <c r="F125" s="20"/>
      <c r="G125" s="14"/>
      <c r="H125" s="20"/>
      <c r="I125" s="19"/>
      <c r="J125" s="22"/>
      <c r="K125" s="23"/>
      <c r="M125" s="6">
        <v>1</v>
      </c>
    </row>
    <row r="126" spans="1:13" x14ac:dyDescent="0.3">
      <c r="A126" s="17"/>
      <c r="B126" s="21"/>
      <c r="C126" s="53" t="s">
        <v>178</v>
      </c>
      <c r="D126" s="20"/>
      <c r="E126" s="20"/>
      <c r="F126" s="20"/>
      <c r="G126" s="14"/>
      <c r="H126" s="20"/>
      <c r="I126" s="19"/>
      <c r="J126" s="22"/>
      <c r="K126" s="23"/>
      <c r="M126" s="6">
        <v>1</v>
      </c>
    </row>
    <row r="127" spans="1:13" x14ac:dyDescent="0.3">
      <c r="A127" s="17"/>
      <c r="B127" s="21"/>
      <c r="C127" s="19" t="s">
        <v>179</v>
      </c>
      <c r="D127" s="20" t="s">
        <v>47</v>
      </c>
      <c r="E127" s="20" t="s">
        <v>196</v>
      </c>
      <c r="F127" s="20">
        <v>43</v>
      </c>
      <c r="G127" s="13" t="s">
        <v>72</v>
      </c>
      <c r="H127" s="20" t="s">
        <v>27</v>
      </c>
      <c r="I127" s="19" t="s">
        <v>180</v>
      </c>
      <c r="J127" s="22" t="s">
        <v>362</v>
      </c>
      <c r="K127" s="23" t="s">
        <v>181</v>
      </c>
      <c r="M127" s="6">
        <v>1</v>
      </c>
    </row>
    <row r="128" spans="1:13" x14ac:dyDescent="0.3">
      <c r="A128" s="17"/>
      <c r="B128" s="21"/>
      <c r="C128" s="19" t="s">
        <v>182</v>
      </c>
      <c r="D128" s="20" t="s">
        <v>47</v>
      </c>
      <c r="E128" s="20" t="s">
        <v>196</v>
      </c>
      <c r="F128" s="20">
        <v>47</v>
      </c>
      <c r="G128" s="13" t="s">
        <v>72</v>
      </c>
      <c r="H128" s="20" t="s">
        <v>27</v>
      </c>
      <c r="I128" s="19" t="s">
        <v>183</v>
      </c>
      <c r="J128" s="22" t="s">
        <v>363</v>
      </c>
      <c r="K128" s="23" t="s">
        <v>181</v>
      </c>
      <c r="M128" s="6">
        <v>1</v>
      </c>
    </row>
    <row r="129" spans="1:15" x14ac:dyDescent="0.3">
      <c r="A129" s="17"/>
      <c r="B129" s="21"/>
      <c r="C129" s="19" t="s">
        <v>218</v>
      </c>
      <c r="D129" s="20" t="s">
        <v>47</v>
      </c>
      <c r="E129" s="20" t="s">
        <v>196</v>
      </c>
      <c r="F129" s="20">
        <v>47</v>
      </c>
      <c r="G129" s="13" t="s">
        <v>72</v>
      </c>
      <c r="H129" s="20" t="s">
        <v>27</v>
      </c>
      <c r="I129" s="19" t="s">
        <v>183</v>
      </c>
      <c r="J129" s="22" t="s">
        <v>364</v>
      </c>
      <c r="K129" s="23" t="s">
        <v>181</v>
      </c>
      <c r="M129" s="6">
        <v>1</v>
      </c>
    </row>
    <row r="130" spans="1:15" x14ac:dyDescent="0.3">
      <c r="A130" s="17"/>
      <c r="B130" s="21"/>
      <c r="C130" s="19" t="s">
        <v>184</v>
      </c>
      <c r="D130" s="20" t="s">
        <v>47</v>
      </c>
      <c r="E130" s="20" t="s">
        <v>196</v>
      </c>
      <c r="F130" s="20">
        <v>44</v>
      </c>
      <c r="G130" s="13" t="s">
        <v>72</v>
      </c>
      <c r="H130" s="20" t="s">
        <v>27</v>
      </c>
      <c r="I130" s="19" t="s">
        <v>185</v>
      </c>
      <c r="J130" s="22" t="s">
        <v>365</v>
      </c>
      <c r="K130" s="23" t="s">
        <v>186</v>
      </c>
      <c r="M130" s="6">
        <v>1</v>
      </c>
      <c r="N130" s="6" t="s">
        <v>271</v>
      </c>
    </row>
    <row r="131" spans="1:15" x14ac:dyDescent="0.3">
      <c r="A131" s="17"/>
      <c r="B131" s="21"/>
      <c r="C131" s="19" t="s">
        <v>187</v>
      </c>
      <c r="D131" s="20" t="s">
        <v>37</v>
      </c>
      <c r="E131" s="20" t="s">
        <v>196</v>
      </c>
      <c r="F131" s="20">
        <v>50</v>
      </c>
      <c r="G131" s="13" t="s">
        <v>72</v>
      </c>
      <c r="H131" s="20" t="s">
        <v>27</v>
      </c>
      <c r="I131" s="19" t="s">
        <v>260</v>
      </c>
      <c r="J131" s="22" t="s">
        <v>366</v>
      </c>
      <c r="K131" s="23" t="s">
        <v>219</v>
      </c>
      <c r="M131" s="6">
        <v>1</v>
      </c>
    </row>
    <row r="132" spans="1:15" x14ac:dyDescent="0.3">
      <c r="A132" s="17"/>
      <c r="B132" s="21"/>
      <c r="C132" s="19" t="s">
        <v>188</v>
      </c>
      <c r="D132" s="20" t="s">
        <v>34</v>
      </c>
      <c r="E132" s="20" t="s">
        <v>35</v>
      </c>
      <c r="F132" s="20">
        <v>50</v>
      </c>
      <c r="G132" s="13" t="s">
        <v>72</v>
      </c>
      <c r="H132" s="20" t="s">
        <v>27</v>
      </c>
      <c r="I132" s="19" t="s">
        <v>261</v>
      </c>
      <c r="J132" s="22" t="s">
        <v>366</v>
      </c>
      <c r="K132" s="23" t="s">
        <v>36</v>
      </c>
      <c r="M132" s="6">
        <v>1</v>
      </c>
    </row>
    <row r="133" spans="1:15" x14ac:dyDescent="0.3">
      <c r="A133" s="17"/>
      <c r="B133" s="21"/>
      <c r="C133" s="19" t="s">
        <v>189</v>
      </c>
      <c r="D133" s="20" t="s">
        <v>47</v>
      </c>
      <c r="E133" s="20" t="s">
        <v>195</v>
      </c>
      <c r="F133" s="20">
        <f>34+7+4</f>
        <v>45</v>
      </c>
      <c r="G133" s="13" t="s">
        <v>72</v>
      </c>
      <c r="H133" s="20" t="s">
        <v>27</v>
      </c>
      <c r="I133" s="15" t="s">
        <v>262</v>
      </c>
      <c r="J133" s="22" t="s">
        <v>27</v>
      </c>
      <c r="K133" s="23" t="s">
        <v>361</v>
      </c>
      <c r="M133" s="6">
        <v>1</v>
      </c>
      <c r="N133" s="6" t="s">
        <v>333</v>
      </c>
      <c r="O133" s="6" t="s">
        <v>344</v>
      </c>
    </row>
    <row r="134" spans="1:15" x14ac:dyDescent="0.3">
      <c r="A134" s="17"/>
      <c r="B134" s="21"/>
      <c r="C134" s="19" t="s">
        <v>190</v>
      </c>
      <c r="D134" s="20" t="s">
        <v>47</v>
      </c>
      <c r="E134" s="20" t="s">
        <v>195</v>
      </c>
      <c r="F134" s="20">
        <f>44+7+4</f>
        <v>55</v>
      </c>
      <c r="G134" s="13" t="s">
        <v>72</v>
      </c>
      <c r="H134" s="20" t="s">
        <v>27</v>
      </c>
      <c r="I134" s="15" t="s">
        <v>263</v>
      </c>
      <c r="J134" s="22" t="s">
        <v>27</v>
      </c>
      <c r="K134" s="23" t="s">
        <v>361</v>
      </c>
      <c r="M134" s="6">
        <v>1</v>
      </c>
      <c r="O134" s="6" t="s">
        <v>344</v>
      </c>
    </row>
    <row r="135" spans="1:15" x14ac:dyDescent="0.3">
      <c r="A135" s="17"/>
      <c r="B135" s="21"/>
      <c r="C135" s="19" t="s">
        <v>259</v>
      </c>
      <c r="D135" s="20" t="s">
        <v>47</v>
      </c>
      <c r="E135" s="20" t="s">
        <v>195</v>
      </c>
      <c r="F135" s="20">
        <v>25</v>
      </c>
      <c r="G135" s="13" t="s">
        <v>72</v>
      </c>
      <c r="H135" s="20" t="s">
        <v>27</v>
      </c>
      <c r="I135" s="15" t="s">
        <v>264</v>
      </c>
      <c r="J135" s="22" t="s">
        <v>27</v>
      </c>
      <c r="K135" s="23" t="s">
        <v>361</v>
      </c>
      <c r="M135" s="6">
        <v>1</v>
      </c>
      <c r="N135" s="6" t="s">
        <v>271</v>
      </c>
      <c r="O135" s="6" t="s">
        <v>344</v>
      </c>
    </row>
    <row r="136" spans="1:15" x14ac:dyDescent="0.3">
      <c r="A136" s="17"/>
      <c r="B136" s="21"/>
      <c r="C136" s="19" t="s">
        <v>227</v>
      </c>
      <c r="D136" s="20" t="s">
        <v>47</v>
      </c>
      <c r="E136" s="20" t="s">
        <v>195</v>
      </c>
      <c r="F136" s="20">
        <f>27+3</f>
        <v>30</v>
      </c>
      <c r="G136" s="13" t="s">
        <v>72</v>
      </c>
      <c r="H136" s="20" t="s">
        <v>27</v>
      </c>
      <c r="I136" s="15" t="s">
        <v>368</v>
      </c>
      <c r="J136" s="22" t="s">
        <v>27</v>
      </c>
      <c r="K136" s="23" t="s">
        <v>367</v>
      </c>
      <c r="M136" s="6">
        <v>1</v>
      </c>
      <c r="O136" s="6" t="s">
        <v>344</v>
      </c>
    </row>
    <row r="137" spans="1:15" x14ac:dyDescent="0.3">
      <c r="A137" s="17"/>
      <c r="B137" s="21"/>
      <c r="C137" s="19" t="s">
        <v>228</v>
      </c>
      <c r="D137" s="20" t="s">
        <v>47</v>
      </c>
      <c r="E137" s="20" t="s">
        <v>195</v>
      </c>
      <c r="F137" s="20">
        <v>21</v>
      </c>
      <c r="G137" s="13" t="s">
        <v>72</v>
      </c>
      <c r="H137" s="20" t="s">
        <v>27</v>
      </c>
      <c r="I137" s="15" t="s">
        <v>369</v>
      </c>
      <c r="J137" s="22" t="s">
        <v>27</v>
      </c>
      <c r="K137" s="23" t="s">
        <v>367</v>
      </c>
      <c r="M137" s="6">
        <v>1</v>
      </c>
      <c r="O137" s="6" t="s">
        <v>344</v>
      </c>
    </row>
    <row r="138" spans="1:15" x14ac:dyDescent="0.3">
      <c r="A138" s="17"/>
      <c r="B138" s="21"/>
      <c r="C138" s="19"/>
      <c r="D138" s="20"/>
      <c r="E138" s="20"/>
      <c r="F138" s="20"/>
      <c r="G138" s="14"/>
      <c r="H138" s="20"/>
      <c r="I138" s="15"/>
      <c r="J138" s="22"/>
      <c r="K138" s="24"/>
      <c r="M138" s="6">
        <v>1</v>
      </c>
    </row>
    <row r="139" spans="1:15" x14ac:dyDescent="0.3">
      <c r="A139" s="17"/>
      <c r="B139" s="21"/>
      <c r="C139" s="19" t="s">
        <v>241</v>
      </c>
      <c r="D139" s="20" t="s">
        <v>47</v>
      </c>
      <c r="E139" s="20" t="s">
        <v>197</v>
      </c>
      <c r="F139" s="20">
        <v>15</v>
      </c>
      <c r="G139" s="14" t="s">
        <v>72</v>
      </c>
      <c r="H139" s="20" t="s">
        <v>27</v>
      </c>
      <c r="I139" s="15" t="s">
        <v>242</v>
      </c>
      <c r="J139" s="22" t="s">
        <v>27</v>
      </c>
      <c r="K139" s="24"/>
      <c r="M139" s="6">
        <v>1</v>
      </c>
      <c r="N139" s="6" t="s">
        <v>332</v>
      </c>
    </row>
    <row r="140" spans="1:15" ht="14.4" thickBot="1" x14ac:dyDescent="0.35">
      <c r="A140" s="50"/>
      <c r="B140" s="51"/>
      <c r="C140" s="25"/>
      <c r="D140" s="26"/>
      <c r="E140" s="26"/>
      <c r="F140" s="26"/>
      <c r="G140" s="26"/>
      <c r="H140" s="26"/>
      <c r="I140" s="26"/>
      <c r="J140" s="26"/>
      <c r="K140" s="11"/>
    </row>
    <row r="141" spans="1:15" x14ac:dyDescent="0.3">
      <c r="D141" s="6"/>
      <c r="F141" s="6">
        <f>SUM(F5:F140)</f>
        <v>3713</v>
      </c>
    </row>
    <row r="142" spans="1:15" x14ac:dyDescent="0.3">
      <c r="D142" s="6"/>
    </row>
    <row r="143" spans="1:15" x14ac:dyDescent="0.3">
      <c r="C143" s="6" t="s">
        <v>267</v>
      </c>
      <c r="D143" s="6" t="str" cm="1">
        <f t="array" ref="D143:F162">_xlfn.GROUPBY(D4:E139,F4:F139,_xleta.SUM)</f>
        <v>F-CY-JZ</v>
      </c>
      <c r="E143" s="6" t="str">
        <v>3G1,5</v>
      </c>
      <c r="F143" s="6">
        <v>477</v>
      </c>
      <c r="G143" s="6" t="str">
        <f>_xlfn.CONCAT(C143," ",D143," ",E143," ")</f>
        <v xml:space="preserve">Kabel F-CY-JZ 3G1,5 </v>
      </c>
      <c r="I143" s="6">
        <f>ROUND(F143*1.15,0)</f>
        <v>549</v>
      </c>
    </row>
    <row r="144" spans="1:15" x14ac:dyDescent="0.3">
      <c r="C144" s="6" t="s">
        <v>267</v>
      </c>
      <c r="D144" s="6" t="str">
        <v>F-CY-OZ</v>
      </c>
      <c r="E144" s="6" t="str">
        <v>2x1,5</v>
      </c>
      <c r="F144" s="6">
        <v>667</v>
      </c>
      <c r="G144" s="6" t="str">
        <f t="shared" ref="G144:G159" si="0">_xlfn.CONCAT(C144," ",D144," ",E144," ")</f>
        <v xml:space="preserve">Kabel F-CY-OZ 2x1,5 </v>
      </c>
      <c r="I144" s="6">
        <f t="shared" ref="I144:I159" si="1">ROUND(F144*1.15,0)</f>
        <v>767</v>
      </c>
    </row>
    <row r="145" spans="3:9" x14ac:dyDescent="0.3">
      <c r="C145" s="6" t="s">
        <v>267</v>
      </c>
      <c r="D145" s="6" t="str">
        <v>H07RN-F</v>
      </c>
      <c r="E145" s="6" t="str">
        <v>5Gx50</v>
      </c>
      <c r="F145" s="6">
        <v>40</v>
      </c>
      <c r="G145" s="6" t="str">
        <f t="shared" si="0"/>
        <v xml:space="preserve">Kabel H07RN-F 5Gx50 </v>
      </c>
      <c r="I145" s="6">
        <f t="shared" si="1"/>
        <v>46</v>
      </c>
    </row>
    <row r="146" spans="3:9" x14ac:dyDescent="0.3">
      <c r="C146" s="6" t="s">
        <v>267</v>
      </c>
      <c r="D146" s="6" t="str">
        <v>H07V-K / GNYE</v>
      </c>
      <c r="E146" s="6" t="str">
        <v>1x25</v>
      </c>
      <c r="F146" s="6">
        <v>20</v>
      </c>
      <c r="G146" s="6" t="str">
        <f t="shared" si="0"/>
        <v xml:space="preserve">Kabel H07V-K / GNYE 1x25 </v>
      </c>
      <c r="I146" s="6">
        <f t="shared" si="1"/>
        <v>23</v>
      </c>
    </row>
    <row r="147" spans="3:9" x14ac:dyDescent="0.3">
      <c r="C147" s="6" t="s">
        <v>267</v>
      </c>
      <c r="D147" s="6" t="str">
        <v>H07V-K / GNYE</v>
      </c>
      <c r="E147" s="6" t="str">
        <v>1x95</v>
      </c>
      <c r="F147" s="6">
        <v>20</v>
      </c>
      <c r="G147" s="6" t="str">
        <f t="shared" si="0"/>
        <v xml:space="preserve">Kabel H07V-K / GNYE 1x95 </v>
      </c>
      <c r="I147" s="6">
        <f t="shared" si="1"/>
        <v>23</v>
      </c>
    </row>
    <row r="148" spans="3:9" x14ac:dyDescent="0.3">
      <c r="C148" s="6" t="s">
        <v>267</v>
      </c>
      <c r="D148" s="6" t="str">
        <v>JZ-500</v>
      </c>
      <c r="E148" s="6" t="str">
        <v>3G1,5</v>
      </c>
      <c r="F148" s="6">
        <v>15</v>
      </c>
      <c r="G148" s="6" t="str">
        <f t="shared" si="0"/>
        <v xml:space="preserve">Kabel JZ-500 3G1,5 </v>
      </c>
      <c r="I148" s="6">
        <f t="shared" si="1"/>
        <v>17</v>
      </c>
    </row>
    <row r="149" spans="3:9" x14ac:dyDescent="0.3">
      <c r="C149" s="6" t="s">
        <v>267</v>
      </c>
      <c r="D149" s="6" t="str">
        <v>JZ-500</v>
      </c>
      <c r="E149" s="6" t="str">
        <v>3G4</v>
      </c>
      <c r="F149" s="6">
        <v>535</v>
      </c>
      <c r="G149" s="6" t="str">
        <f t="shared" si="0"/>
        <v xml:space="preserve">Kabel JZ-500 3G4 </v>
      </c>
      <c r="I149" s="6">
        <f t="shared" si="1"/>
        <v>615</v>
      </c>
    </row>
    <row r="150" spans="3:9" x14ac:dyDescent="0.3">
      <c r="C150" s="6" t="s">
        <v>267</v>
      </c>
      <c r="D150" s="6" t="str">
        <v>JZ-500</v>
      </c>
      <c r="E150" s="6" t="str">
        <v>4G1,5</v>
      </c>
      <c r="F150" s="6">
        <v>210</v>
      </c>
      <c r="G150" s="6" t="str">
        <f t="shared" si="0"/>
        <v xml:space="preserve">Kabel JZ-500 4G1,5 </v>
      </c>
      <c r="I150" s="6">
        <f t="shared" si="1"/>
        <v>242</v>
      </c>
    </row>
    <row r="151" spans="3:9" x14ac:dyDescent="0.3">
      <c r="C151" s="6" t="s">
        <v>267</v>
      </c>
      <c r="D151" s="6" t="str">
        <v>JZ-500</v>
      </c>
      <c r="E151" s="6" t="str">
        <v>4G2,5</v>
      </c>
      <c r="F151" s="6">
        <v>723</v>
      </c>
      <c r="G151" s="6" t="str">
        <f t="shared" si="0"/>
        <v xml:space="preserve">Kabel JZ-500 4G2,5 </v>
      </c>
      <c r="I151" s="6">
        <f t="shared" si="1"/>
        <v>831</v>
      </c>
    </row>
    <row r="152" spans="3:9" x14ac:dyDescent="0.3">
      <c r="C152" s="6" t="s">
        <v>267</v>
      </c>
      <c r="D152" s="6" t="str">
        <v>JZ-500</v>
      </c>
      <c r="E152" s="6" t="str">
        <v>5G1,5</v>
      </c>
      <c r="F152" s="6">
        <v>176</v>
      </c>
      <c r="G152" s="6" t="str">
        <f t="shared" si="0"/>
        <v xml:space="preserve">Kabel JZ-500 5G1,5 </v>
      </c>
      <c r="I152" s="6">
        <f t="shared" si="1"/>
        <v>202</v>
      </c>
    </row>
    <row r="153" spans="3:9" x14ac:dyDescent="0.3">
      <c r="C153" s="6" t="s">
        <v>267</v>
      </c>
      <c r="D153" s="6" t="str">
        <v>JZ-600-Y-CY</v>
      </c>
      <c r="E153" s="6" t="str">
        <v>3G16</v>
      </c>
      <c r="F153" s="6">
        <v>10</v>
      </c>
      <c r="G153" s="6" t="str">
        <f t="shared" si="0"/>
        <v xml:space="preserve">Kabel JZ-600-Y-CY 3G16 </v>
      </c>
      <c r="I153" s="6">
        <f t="shared" si="1"/>
        <v>12</v>
      </c>
    </row>
    <row r="154" spans="3:9" x14ac:dyDescent="0.3">
      <c r="C154" s="6" t="s">
        <v>267</v>
      </c>
      <c r="D154" s="6" t="str">
        <v>JZ-600-Y-CY</v>
      </c>
      <c r="E154" s="6" t="str">
        <v>4G1,5</v>
      </c>
      <c r="F154" s="6">
        <v>82</v>
      </c>
      <c r="G154" s="6" t="str">
        <f t="shared" si="0"/>
        <v xml:space="preserve">Kabel JZ-600-Y-CY 4G1,5 </v>
      </c>
      <c r="I154" s="6">
        <f t="shared" si="1"/>
        <v>94</v>
      </c>
    </row>
    <row r="155" spans="3:9" x14ac:dyDescent="0.3">
      <c r="C155" s="6" t="s">
        <v>267</v>
      </c>
      <c r="D155" s="6" t="str">
        <v>JZ-600-Y-CY</v>
      </c>
      <c r="E155" s="6" t="str">
        <v>4G2,5</v>
      </c>
      <c r="F155" s="6">
        <v>76</v>
      </c>
      <c r="G155" s="6" t="str">
        <f t="shared" si="0"/>
        <v xml:space="preserve">Kabel JZ-600-Y-CY 4G2,5 </v>
      </c>
      <c r="I155" s="6">
        <f t="shared" si="1"/>
        <v>87</v>
      </c>
    </row>
    <row r="156" spans="3:9" x14ac:dyDescent="0.3">
      <c r="C156" s="6" t="s">
        <v>267</v>
      </c>
      <c r="D156" s="6" t="str">
        <v>JZ-600-Y-CY</v>
      </c>
      <c r="E156" s="6" t="str">
        <v>4G4</v>
      </c>
      <c r="F156" s="6">
        <v>57</v>
      </c>
      <c r="G156" s="6" t="str">
        <f t="shared" si="0"/>
        <v xml:space="preserve">Kabel JZ-600-Y-CY 4G4 </v>
      </c>
      <c r="I156" s="6">
        <f t="shared" si="1"/>
        <v>66</v>
      </c>
    </row>
    <row r="157" spans="3:9" x14ac:dyDescent="0.3">
      <c r="C157" s="6" t="s">
        <v>267</v>
      </c>
      <c r="D157" s="6" t="str">
        <v>JZ-600-Y-CY</v>
      </c>
      <c r="E157" s="6" t="str">
        <v>4G6</v>
      </c>
      <c r="F157" s="6">
        <v>46</v>
      </c>
      <c r="G157" s="6" t="str">
        <f t="shared" si="0"/>
        <v xml:space="preserve">Kabel JZ-600-Y-CY 4G6 </v>
      </c>
      <c r="I157" s="6">
        <f t="shared" si="1"/>
        <v>53</v>
      </c>
    </row>
    <row r="158" spans="3:9" x14ac:dyDescent="0.3">
      <c r="C158" s="6" t="s">
        <v>267</v>
      </c>
      <c r="D158" s="6" t="str">
        <v>JZ-600-Y-CY</v>
      </c>
      <c r="E158" s="6" t="str">
        <v>7G1,5</v>
      </c>
      <c r="F158" s="6">
        <v>487</v>
      </c>
      <c r="G158" s="6" t="str">
        <f t="shared" si="0"/>
        <v xml:space="preserve">Kabel JZ-600-Y-CY 7G1,5 </v>
      </c>
      <c r="I158" s="6">
        <f t="shared" si="1"/>
        <v>560</v>
      </c>
    </row>
    <row r="159" spans="3:9" x14ac:dyDescent="0.3">
      <c r="C159" s="6" t="s">
        <v>267</v>
      </c>
      <c r="D159" s="6" t="str">
        <v>OZ-500</v>
      </c>
      <c r="E159" s="6" t="str">
        <v>4x0,75</v>
      </c>
      <c r="F159" s="6">
        <v>30</v>
      </c>
      <c r="G159" s="6" t="str">
        <f t="shared" si="0"/>
        <v xml:space="preserve">Kabel OZ-500 4x0,75 </v>
      </c>
      <c r="I159" s="6">
        <f t="shared" si="1"/>
        <v>35</v>
      </c>
    </row>
    <row r="160" spans="3:9" x14ac:dyDescent="0.3">
      <c r="D160" s="6" t="str">
        <v>SERVO 2YSLYCYK-JB</v>
      </c>
      <c r="E160" s="6" t="str">
        <v>3x95+3G16</v>
      </c>
      <c r="F160" s="6">
        <v>42</v>
      </c>
    </row>
    <row r="161" spans="4:10" x14ac:dyDescent="0.3">
      <c r="D161" s="6">
        <v>0</v>
      </c>
      <c r="E161" s="6">
        <v>0</v>
      </c>
      <c r="F161" s="6">
        <v>0</v>
      </c>
    </row>
    <row r="162" spans="4:10" x14ac:dyDescent="0.3">
      <c r="D162" s="6" t="str">
        <v>Celkem</v>
      </c>
      <c r="E162" s="6" t="str">
        <v/>
      </c>
      <c r="F162" s="6">
        <v>3713</v>
      </c>
    </row>
    <row r="163" spans="4:10" x14ac:dyDescent="0.3">
      <c r="D163" s="6" t="s">
        <v>334</v>
      </c>
      <c r="G163" s="6" t="s">
        <v>269</v>
      </c>
      <c r="I163" s="6" t="s">
        <v>270</v>
      </c>
    </row>
    <row r="164" spans="4:10" x14ac:dyDescent="0.3">
      <c r="D164" s="6" t="str" cm="1">
        <f t="array" ref="D164:F183">_xlfn.GROUPBY(D4:E139,M4:M139,_xleta.SUM)</f>
        <v>F-CY-JZ</v>
      </c>
      <c r="E164" s="6" t="str">
        <v>3G1,5</v>
      </c>
      <c r="F164" s="6">
        <v>9</v>
      </c>
      <c r="I164" s="6">
        <v>1.5</v>
      </c>
      <c r="J164" s="6">
        <v>16</v>
      </c>
    </row>
    <row r="165" spans="4:10" x14ac:dyDescent="0.3">
      <c r="D165" s="6" t="str">
        <v>F-CY-OZ</v>
      </c>
      <c r="E165" s="6" t="str">
        <v>2x1,5</v>
      </c>
      <c r="F165" s="6">
        <v>18</v>
      </c>
      <c r="I165" s="6">
        <v>1.5</v>
      </c>
      <c r="J165" s="6">
        <v>18</v>
      </c>
    </row>
    <row r="166" spans="4:10" x14ac:dyDescent="0.3">
      <c r="D166" s="6" t="str">
        <v>H07RN-F</v>
      </c>
      <c r="E166" s="6" t="str">
        <v>5Gx50</v>
      </c>
      <c r="F166" s="6">
        <v>2</v>
      </c>
      <c r="I166" s="6">
        <v>50</v>
      </c>
      <c r="J166" s="6">
        <v>4</v>
      </c>
    </row>
    <row r="167" spans="4:10" x14ac:dyDescent="0.3">
      <c r="D167" s="6" t="str">
        <v>H07V-K / GNYE</v>
      </c>
      <c r="E167" s="6" t="str">
        <v>1x25</v>
      </c>
      <c r="F167" s="6">
        <v>1</v>
      </c>
      <c r="I167" s="6">
        <v>25</v>
      </c>
      <c r="J167" s="6">
        <v>2</v>
      </c>
    </row>
    <row r="168" spans="4:10" x14ac:dyDescent="0.3">
      <c r="D168" s="6" t="str">
        <v>H07V-K / GNYE</v>
      </c>
      <c r="E168" s="6" t="str">
        <v>1x95</v>
      </c>
      <c r="F168" s="6">
        <v>1</v>
      </c>
      <c r="I168" s="6">
        <v>95</v>
      </c>
      <c r="J168" s="6">
        <v>2</v>
      </c>
    </row>
    <row r="169" spans="4:10" x14ac:dyDescent="0.3">
      <c r="D169" s="6" t="str">
        <v>JZ-500</v>
      </c>
      <c r="E169" s="6" t="str">
        <v>3G1,5</v>
      </c>
      <c r="F169" s="6">
        <v>1</v>
      </c>
      <c r="G169" s="6">
        <v>1.5</v>
      </c>
      <c r="H169" s="6">
        <v>2</v>
      </c>
    </row>
    <row r="170" spans="4:10" x14ac:dyDescent="0.3">
      <c r="D170" s="6" t="str">
        <v>JZ-500</v>
      </c>
      <c r="E170" s="6" t="str">
        <v>3G4</v>
      </c>
      <c r="F170" s="6">
        <v>10</v>
      </c>
      <c r="G170" s="6">
        <v>4</v>
      </c>
      <c r="H170" s="6">
        <v>20</v>
      </c>
    </row>
    <row r="171" spans="4:10" x14ac:dyDescent="0.3">
      <c r="D171" s="6" t="str">
        <v>JZ-500</v>
      </c>
      <c r="E171" s="6" t="str">
        <v>4G1,5</v>
      </c>
      <c r="F171" s="6">
        <v>5</v>
      </c>
      <c r="G171" s="6">
        <v>15</v>
      </c>
      <c r="H171" s="6">
        <v>10</v>
      </c>
    </row>
    <row r="172" spans="4:10" x14ac:dyDescent="0.3">
      <c r="D172" s="6" t="str">
        <v>JZ-500</v>
      </c>
      <c r="E172" s="6" t="str">
        <v>4G2,5</v>
      </c>
      <c r="F172" s="6">
        <v>16</v>
      </c>
      <c r="G172" s="6">
        <v>1.5</v>
      </c>
      <c r="H172" s="6">
        <v>28</v>
      </c>
    </row>
    <row r="173" spans="4:10" x14ac:dyDescent="0.3">
      <c r="D173" s="6" t="str">
        <v>JZ-500</v>
      </c>
      <c r="E173" s="6" t="str">
        <v>5G1,5</v>
      </c>
      <c r="F173" s="6">
        <v>5</v>
      </c>
      <c r="G173" s="6">
        <v>1.5</v>
      </c>
      <c r="H173" s="6">
        <v>10</v>
      </c>
    </row>
    <row r="174" spans="4:10" x14ac:dyDescent="0.3">
      <c r="D174" s="6" t="str">
        <v>JZ-600-Y-CY</v>
      </c>
      <c r="E174" s="6" t="str">
        <v>3G16</v>
      </c>
      <c r="F174" s="6">
        <v>1</v>
      </c>
      <c r="I174" s="6">
        <v>16</v>
      </c>
      <c r="J174" s="6">
        <v>2</v>
      </c>
    </row>
    <row r="175" spans="4:10" x14ac:dyDescent="0.3">
      <c r="D175" s="6" t="str">
        <v>JZ-600-Y-CY</v>
      </c>
      <c r="E175" s="6" t="str">
        <v>4G1,5</v>
      </c>
      <c r="F175" s="6">
        <v>2</v>
      </c>
      <c r="I175" s="6">
        <v>1.5</v>
      </c>
      <c r="J175" s="6">
        <v>4</v>
      </c>
    </row>
    <row r="176" spans="4:10" x14ac:dyDescent="0.3">
      <c r="D176" s="6" t="str">
        <v>JZ-600-Y-CY</v>
      </c>
      <c r="E176" s="6" t="str">
        <v>4G2,5</v>
      </c>
      <c r="F176" s="6">
        <v>2</v>
      </c>
      <c r="I176" s="6">
        <v>2.5</v>
      </c>
      <c r="J176" s="6">
        <v>8</v>
      </c>
    </row>
    <row r="177" spans="4:10" x14ac:dyDescent="0.3">
      <c r="D177" s="6" t="str">
        <v>JZ-600-Y-CY</v>
      </c>
      <c r="E177" s="6" t="str">
        <v>4G4</v>
      </c>
      <c r="F177" s="6">
        <v>2</v>
      </c>
      <c r="I177" s="6">
        <v>4</v>
      </c>
      <c r="J177" s="6">
        <v>2</v>
      </c>
    </row>
    <row r="178" spans="4:10" x14ac:dyDescent="0.3">
      <c r="D178" s="6" t="str">
        <v>JZ-600-Y-CY</v>
      </c>
      <c r="E178" s="6" t="str">
        <v>4G6</v>
      </c>
      <c r="F178" s="6">
        <v>1</v>
      </c>
      <c r="I178" s="6">
        <v>1.5</v>
      </c>
      <c r="J178" s="6">
        <v>26</v>
      </c>
    </row>
    <row r="179" spans="4:10" x14ac:dyDescent="0.3">
      <c r="D179" s="6" t="str">
        <v>JZ-600-Y-CY</v>
      </c>
      <c r="E179" s="6" t="str">
        <v>7G1,5</v>
      </c>
      <c r="F179" s="6">
        <v>13</v>
      </c>
      <c r="G179" s="6">
        <v>0.75</v>
      </c>
      <c r="H179" s="6">
        <v>6</v>
      </c>
      <c r="I179" s="6">
        <v>0.7</v>
      </c>
      <c r="J179" s="6">
        <v>6</v>
      </c>
    </row>
    <row r="180" spans="4:10" x14ac:dyDescent="0.3">
      <c r="D180" s="6" t="str">
        <v>OZ-500</v>
      </c>
      <c r="E180" s="6" t="str">
        <v>4x0,75</v>
      </c>
      <c r="F180" s="6">
        <v>3</v>
      </c>
      <c r="G180" s="56"/>
      <c r="I180" s="56" t="s">
        <v>272</v>
      </c>
      <c r="J180" s="6">
        <v>2</v>
      </c>
    </row>
    <row r="181" spans="4:10" x14ac:dyDescent="0.3">
      <c r="D181" s="6" t="str">
        <v>SERVO 2YSLYCYK-JB</v>
      </c>
      <c r="E181" s="6" t="str">
        <v>3x95+3G16</v>
      </c>
      <c r="F181" s="6">
        <v>1</v>
      </c>
    </row>
    <row r="182" spans="4:10" x14ac:dyDescent="0.3">
      <c r="D182" s="6">
        <v>0</v>
      </c>
      <c r="E182" s="6">
        <v>0</v>
      </c>
      <c r="F182" s="6">
        <v>35</v>
      </c>
    </row>
    <row r="183" spans="4:10" x14ac:dyDescent="0.3">
      <c r="D183" s="6" t="str">
        <v>Celkem</v>
      </c>
      <c r="E183" s="6" t="str">
        <v/>
      </c>
      <c r="F183" s="6">
        <v>128</v>
      </c>
    </row>
    <row r="184" spans="4:10" x14ac:dyDescent="0.3">
      <c r="D184" s="6"/>
      <c r="G184" s="6" cm="1">
        <f t="array" ref="G184:H189">_xlfn.GROUPBY(G169:G180,H169:H180,_xleta.SUM)</f>
        <v>0.75</v>
      </c>
      <c r="H184" s="6">
        <v>6</v>
      </c>
      <c r="I184" s="6" cm="1">
        <f t="array" ref="I184:J191">_xlfn.GROUPBY(I169:I180,J169:J180,_xleta.SUM)</f>
        <v>0.7</v>
      </c>
      <c r="J184" s="6">
        <v>6</v>
      </c>
    </row>
    <row r="185" spans="4:10" x14ac:dyDescent="0.3">
      <c r="D185" s="6"/>
      <c r="G185" s="6">
        <v>1.5</v>
      </c>
      <c r="H185" s="6">
        <v>40</v>
      </c>
      <c r="I185" s="6">
        <v>1.5</v>
      </c>
      <c r="J185" s="6">
        <v>30</v>
      </c>
    </row>
    <row r="186" spans="4:10" x14ac:dyDescent="0.3">
      <c r="D186" s="6"/>
      <c r="G186" s="6">
        <v>4</v>
      </c>
      <c r="H186" s="6">
        <v>20</v>
      </c>
      <c r="I186" s="6">
        <v>2.5</v>
      </c>
      <c r="J186" s="6">
        <v>8</v>
      </c>
    </row>
    <row r="187" spans="4:10" x14ac:dyDescent="0.3">
      <c r="D187" s="6"/>
      <c r="G187" s="6">
        <v>15</v>
      </c>
      <c r="H187" s="6">
        <v>10</v>
      </c>
      <c r="I187" s="6">
        <v>4</v>
      </c>
      <c r="J187" s="6">
        <v>2</v>
      </c>
    </row>
    <row r="188" spans="4:10" x14ac:dyDescent="0.3">
      <c r="D188" s="6"/>
      <c r="G188" s="6">
        <v>0</v>
      </c>
      <c r="H188" s="6">
        <v>0</v>
      </c>
      <c r="I188" s="6">
        <v>16</v>
      </c>
      <c r="J188" s="6">
        <v>2</v>
      </c>
    </row>
    <row r="189" spans="4:10" x14ac:dyDescent="0.3">
      <c r="D189" s="6"/>
      <c r="G189" s="6" t="str">
        <v>Celkem</v>
      </c>
      <c r="H189" s="6">
        <v>76</v>
      </c>
      <c r="I189" s="6" t="str">
        <v>95+16</v>
      </c>
      <c r="J189" s="6">
        <v>2</v>
      </c>
    </row>
    <row r="190" spans="4:10" x14ac:dyDescent="0.3">
      <c r="D190" s="6"/>
      <c r="I190" s="6">
        <v>0</v>
      </c>
      <c r="J190" s="6">
        <v>0</v>
      </c>
    </row>
    <row r="191" spans="4:10" x14ac:dyDescent="0.3">
      <c r="D191" s="6"/>
      <c r="I191" s="6" t="str">
        <v>Celkem</v>
      </c>
      <c r="J191" s="6">
        <v>50</v>
      </c>
    </row>
    <row r="192" spans="4:10" x14ac:dyDescent="0.3">
      <c r="D192" s="6"/>
    </row>
    <row r="193" spans="4:8" x14ac:dyDescent="0.3">
      <c r="D193" s="6"/>
      <c r="H193" s="6">
        <f>(76+50)/2</f>
        <v>63</v>
      </c>
    </row>
    <row r="194" spans="4:8" x14ac:dyDescent="0.3">
      <c r="D194" s="6"/>
    </row>
    <row r="195" spans="4:8" x14ac:dyDescent="0.3">
      <c r="D195" s="6"/>
    </row>
    <row r="196" spans="4:8" x14ac:dyDescent="0.3">
      <c r="D196" s="6"/>
    </row>
    <row r="197" spans="4:8" x14ac:dyDescent="0.3">
      <c r="D197" s="6"/>
    </row>
    <row r="198" spans="4:8" x14ac:dyDescent="0.3">
      <c r="D198" s="6"/>
    </row>
    <row r="199" spans="4:8" x14ac:dyDescent="0.3">
      <c r="D199" s="6"/>
    </row>
    <row r="200" spans="4:8" x14ac:dyDescent="0.3">
      <c r="D200" s="6"/>
    </row>
    <row r="201" spans="4:8" x14ac:dyDescent="0.3">
      <c r="D201" s="6"/>
    </row>
    <row r="202" spans="4:8" x14ac:dyDescent="0.3">
      <c r="D202" s="6"/>
    </row>
    <row r="203" spans="4:8" x14ac:dyDescent="0.3">
      <c r="D203" s="6"/>
    </row>
    <row r="204" spans="4:8" x14ac:dyDescent="0.3">
      <c r="D204" s="6"/>
    </row>
    <row r="205" spans="4:8" x14ac:dyDescent="0.3">
      <c r="D205" s="6"/>
    </row>
    <row r="206" spans="4:8" x14ac:dyDescent="0.3">
      <c r="D206" s="6"/>
    </row>
    <row r="207" spans="4:8" x14ac:dyDescent="0.3">
      <c r="D207" s="6"/>
    </row>
    <row r="208" spans="4:8" x14ac:dyDescent="0.3">
      <c r="D208" s="6"/>
    </row>
    <row r="209" spans="4:4" x14ac:dyDescent="0.3">
      <c r="D209" s="6"/>
    </row>
    <row r="210" spans="4:4" x14ac:dyDescent="0.3">
      <c r="D210" s="6"/>
    </row>
    <row r="211" spans="4:4" x14ac:dyDescent="0.3">
      <c r="D211" s="6"/>
    </row>
    <row r="212" spans="4:4" x14ac:dyDescent="0.3">
      <c r="D212" s="6"/>
    </row>
    <row r="213" spans="4:4" x14ac:dyDescent="0.3">
      <c r="D213" s="6"/>
    </row>
    <row r="214" spans="4:4" x14ac:dyDescent="0.3">
      <c r="D214" s="6"/>
    </row>
    <row r="215" spans="4:4" x14ac:dyDescent="0.3">
      <c r="D215" s="6"/>
    </row>
    <row r="216" spans="4:4" x14ac:dyDescent="0.3">
      <c r="D216" s="6"/>
    </row>
    <row r="217" spans="4:4" x14ac:dyDescent="0.3">
      <c r="D217" s="6"/>
    </row>
    <row r="218" spans="4:4" x14ac:dyDescent="0.3">
      <c r="D218" s="6"/>
    </row>
    <row r="219" spans="4:4" x14ac:dyDescent="0.3">
      <c r="D219" s="6"/>
    </row>
    <row r="220" spans="4:4" x14ac:dyDescent="0.3">
      <c r="D220" s="6"/>
    </row>
    <row r="221" spans="4:4" x14ac:dyDescent="0.3">
      <c r="D221" s="6"/>
    </row>
    <row r="222" spans="4:4" x14ac:dyDescent="0.3">
      <c r="D222" s="6"/>
    </row>
    <row r="223" spans="4:4" x14ac:dyDescent="0.3">
      <c r="D223" s="6"/>
    </row>
    <row r="224" spans="4:4" x14ac:dyDescent="0.3">
      <c r="D224" s="6"/>
    </row>
    <row r="225" spans="4:4" x14ac:dyDescent="0.3">
      <c r="D225" s="6"/>
    </row>
    <row r="226" spans="4:4" x14ac:dyDescent="0.3">
      <c r="D226" s="6"/>
    </row>
    <row r="227" spans="4:4" x14ac:dyDescent="0.3">
      <c r="D227" s="6"/>
    </row>
    <row r="228" spans="4:4" x14ac:dyDescent="0.3">
      <c r="D228" s="6"/>
    </row>
    <row r="229" spans="4:4" x14ac:dyDescent="0.3">
      <c r="D229" s="6"/>
    </row>
    <row r="230" spans="4:4" x14ac:dyDescent="0.3">
      <c r="D230" s="6"/>
    </row>
    <row r="231" spans="4:4" x14ac:dyDescent="0.3">
      <c r="D231" s="6"/>
    </row>
    <row r="232" spans="4:4" x14ac:dyDescent="0.3">
      <c r="D232" s="6"/>
    </row>
    <row r="233" spans="4:4" x14ac:dyDescent="0.3">
      <c r="D233" s="6"/>
    </row>
    <row r="234" spans="4:4" x14ac:dyDescent="0.3">
      <c r="D234" s="6"/>
    </row>
    <row r="235" spans="4:4" x14ac:dyDescent="0.3">
      <c r="D235" s="6"/>
    </row>
    <row r="236" spans="4:4" x14ac:dyDescent="0.3">
      <c r="D236" s="6"/>
    </row>
    <row r="237" spans="4:4" x14ac:dyDescent="0.3">
      <c r="D237" s="6"/>
    </row>
    <row r="238" spans="4:4" x14ac:dyDescent="0.3">
      <c r="D238" s="6"/>
    </row>
    <row r="239" spans="4:4" x14ac:dyDescent="0.3">
      <c r="D239" s="6"/>
    </row>
    <row r="240" spans="4:4" x14ac:dyDescent="0.3">
      <c r="D240" s="6"/>
    </row>
    <row r="241" spans="4:4" x14ac:dyDescent="0.3">
      <c r="D241" s="6"/>
    </row>
    <row r="242" spans="4:4" x14ac:dyDescent="0.3">
      <c r="D242" s="6"/>
    </row>
    <row r="243" spans="4:4" x14ac:dyDescent="0.3">
      <c r="D243" s="6"/>
    </row>
    <row r="244" spans="4:4" x14ac:dyDescent="0.3">
      <c r="D244" s="6"/>
    </row>
    <row r="245" spans="4:4" x14ac:dyDescent="0.3">
      <c r="D245" s="6"/>
    </row>
    <row r="246" spans="4:4" x14ac:dyDescent="0.3">
      <c r="D246" s="6"/>
    </row>
    <row r="247" spans="4:4" x14ac:dyDescent="0.3">
      <c r="D247" s="6"/>
    </row>
    <row r="248" spans="4:4" x14ac:dyDescent="0.3">
      <c r="D248" s="6"/>
    </row>
    <row r="249" spans="4:4" x14ac:dyDescent="0.3">
      <c r="D249" s="6"/>
    </row>
    <row r="250" spans="4:4" x14ac:dyDescent="0.3">
      <c r="D250" s="6"/>
    </row>
    <row r="251" spans="4:4" x14ac:dyDescent="0.3">
      <c r="D251" s="6"/>
    </row>
    <row r="252" spans="4:4" x14ac:dyDescent="0.3">
      <c r="D252" s="6"/>
    </row>
    <row r="253" spans="4:4" x14ac:dyDescent="0.3">
      <c r="D253" s="6"/>
    </row>
    <row r="254" spans="4:4" x14ac:dyDescent="0.3">
      <c r="D254" s="6"/>
    </row>
    <row r="255" spans="4:4" x14ac:dyDescent="0.3">
      <c r="D255" s="6"/>
    </row>
    <row r="256" spans="4:4" x14ac:dyDescent="0.3">
      <c r="D256" s="6"/>
    </row>
    <row r="257" spans="4:4" x14ac:dyDescent="0.3">
      <c r="D257" s="6"/>
    </row>
    <row r="258" spans="4:4" x14ac:dyDescent="0.3">
      <c r="D258" s="6"/>
    </row>
    <row r="259" spans="4:4" x14ac:dyDescent="0.3">
      <c r="D259" s="6"/>
    </row>
    <row r="260" spans="4:4" x14ac:dyDescent="0.3">
      <c r="D260" s="6"/>
    </row>
    <row r="261" spans="4:4" x14ac:dyDescent="0.3">
      <c r="D261" s="6"/>
    </row>
    <row r="262" spans="4:4" x14ac:dyDescent="0.3">
      <c r="D262" s="6"/>
    </row>
    <row r="263" spans="4:4" x14ac:dyDescent="0.3">
      <c r="D263" s="6"/>
    </row>
    <row r="264" spans="4:4" x14ac:dyDescent="0.3">
      <c r="D264" s="6"/>
    </row>
    <row r="265" spans="4:4" x14ac:dyDescent="0.3">
      <c r="D265" s="6"/>
    </row>
    <row r="266" spans="4:4" x14ac:dyDescent="0.3">
      <c r="D266" s="6"/>
    </row>
    <row r="267" spans="4:4" x14ac:dyDescent="0.3">
      <c r="D267" s="6"/>
    </row>
    <row r="268" spans="4:4" x14ac:dyDescent="0.3">
      <c r="D268" s="6"/>
    </row>
    <row r="269" spans="4:4" x14ac:dyDescent="0.3">
      <c r="D269" s="6"/>
    </row>
    <row r="270" spans="4:4" x14ac:dyDescent="0.3">
      <c r="D270" s="6"/>
    </row>
    <row r="271" spans="4:4" x14ac:dyDescent="0.3">
      <c r="D271" s="6"/>
    </row>
    <row r="272" spans="4:4" x14ac:dyDescent="0.3">
      <c r="D272" s="6"/>
    </row>
    <row r="273" spans="4:4" x14ac:dyDescent="0.3">
      <c r="D273" s="6"/>
    </row>
    <row r="274" spans="4:4" x14ac:dyDescent="0.3">
      <c r="D274" s="6"/>
    </row>
    <row r="275" spans="4:4" x14ac:dyDescent="0.3">
      <c r="D275" s="6"/>
    </row>
    <row r="276" spans="4:4" x14ac:dyDescent="0.3">
      <c r="D276" s="6"/>
    </row>
    <row r="277" spans="4:4" x14ac:dyDescent="0.3">
      <c r="D277" s="6"/>
    </row>
    <row r="278" spans="4:4" x14ac:dyDescent="0.3">
      <c r="D278" s="6"/>
    </row>
    <row r="279" spans="4:4" x14ac:dyDescent="0.3">
      <c r="D279" s="6"/>
    </row>
    <row r="280" spans="4:4" x14ac:dyDescent="0.3">
      <c r="D280" s="6"/>
    </row>
    <row r="281" spans="4:4" x14ac:dyDescent="0.3">
      <c r="D281" s="6"/>
    </row>
    <row r="282" spans="4:4" x14ac:dyDescent="0.3">
      <c r="D282" s="6"/>
    </row>
  </sheetData>
  <autoFilter ref="A2:P137" xr:uid="{1413607F-C8E9-4F3D-9B2F-639090A3223C}"/>
  <phoneticPr fontId="6" type="noConversion"/>
  <pageMargins left="0.7" right="0.7" top="0.78740157499999996" bottom="0.78740157499999996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3CE3-B9C1-48D7-8A38-2D555D75BA33}">
  <sheetPr codeName="List2"/>
  <dimension ref="A2:D8"/>
  <sheetViews>
    <sheetView workbookViewId="0">
      <selection activeCell="I12" sqref="I12"/>
    </sheetView>
  </sheetViews>
  <sheetFormatPr defaultRowHeight="14.4" x14ac:dyDescent="0.3"/>
  <cols>
    <col min="1" max="1" width="6.6640625" bestFit="1" customWidth="1"/>
    <col min="2" max="2" width="10.33203125" bestFit="1" customWidth="1"/>
    <col min="3" max="3" width="6.6640625" bestFit="1" customWidth="1"/>
    <col min="4" max="4" width="11.44140625" bestFit="1" customWidth="1"/>
  </cols>
  <sheetData>
    <row r="2" spans="1:4" x14ac:dyDescent="0.3">
      <c r="B2" t="s">
        <v>198</v>
      </c>
    </row>
    <row r="3" spans="1:4" s="54" customFormat="1" x14ac:dyDescent="0.3">
      <c r="A3" s="54" t="s">
        <v>199</v>
      </c>
      <c r="B3" s="54" t="s">
        <v>200</v>
      </c>
      <c r="C3" s="54" t="s">
        <v>201</v>
      </c>
      <c r="D3" s="54" t="s">
        <v>202</v>
      </c>
    </row>
    <row r="4" spans="1:4" s="54" customFormat="1" x14ac:dyDescent="0.3">
      <c r="A4" s="54">
        <v>1</v>
      </c>
      <c r="B4" s="54" t="s">
        <v>203</v>
      </c>
      <c r="C4" s="54">
        <v>75</v>
      </c>
      <c r="D4" s="54" t="s">
        <v>204</v>
      </c>
    </row>
    <row r="5" spans="1:4" s="54" customFormat="1" x14ac:dyDescent="0.3">
      <c r="A5" s="54">
        <v>2</v>
      </c>
      <c r="B5" s="54" t="s">
        <v>205</v>
      </c>
      <c r="C5" s="54">
        <v>7.5</v>
      </c>
      <c r="D5" s="54" t="s">
        <v>206</v>
      </c>
    </row>
    <row r="6" spans="1:4" s="54" customFormat="1" x14ac:dyDescent="0.3">
      <c r="A6" s="54">
        <v>3</v>
      </c>
      <c r="B6" s="54" t="s">
        <v>207</v>
      </c>
      <c r="C6" s="54">
        <v>2.5</v>
      </c>
      <c r="D6" s="54" t="s">
        <v>208</v>
      </c>
    </row>
    <row r="7" spans="1:4" s="54" customFormat="1" x14ac:dyDescent="0.3">
      <c r="A7" s="54">
        <v>3</v>
      </c>
      <c r="B7" s="54" t="s">
        <v>209</v>
      </c>
      <c r="C7" s="54">
        <v>1.4</v>
      </c>
      <c r="D7" s="54" t="s">
        <v>210</v>
      </c>
    </row>
    <row r="8" spans="1:4" x14ac:dyDescent="0.3">
      <c r="B8" s="54" t="s">
        <v>212</v>
      </c>
      <c r="C8" s="54">
        <v>4</v>
      </c>
      <c r="D8" s="54" t="s">
        <v>208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5</vt:i4>
      </vt:variant>
    </vt:vector>
  </HeadingPairs>
  <TitlesOfParts>
    <vt:vector size="8" baseType="lpstr">
      <vt:lpstr>Titulni List</vt:lpstr>
      <vt:lpstr>Seznam</vt:lpstr>
      <vt:lpstr>SICHR</vt:lpstr>
      <vt:lpstr>'Titulni List'!CDOK1</vt:lpstr>
      <vt:lpstr>'Titulni List'!CDOK2</vt:lpstr>
      <vt:lpstr>Seznam!Oblast_tisku</vt:lpstr>
      <vt:lpstr>'Titulni List'!Oblast_tisku</vt:lpstr>
      <vt:lpstr>'Titulni List'!REV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Michal (TRACTEBEL - CZECH REPUBLIC)</dc:creator>
  <cp:lastModifiedBy>CSATO Martin (TRACTEBEL - CZECH REPUBLIC)</cp:lastModifiedBy>
  <cp:lastPrinted>2026-06-28T15:36:54Z</cp:lastPrinted>
  <dcterms:created xsi:type="dcterms:W3CDTF">2026-06-09T09:23:51Z</dcterms:created>
  <dcterms:modified xsi:type="dcterms:W3CDTF">2026-06-29T23:06:28Z</dcterms:modified>
</cp:coreProperties>
</file>