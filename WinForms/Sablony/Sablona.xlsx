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G:\Můj disk\Projekty\SemiProvoz\Podklady\SeznamMichal\"/>
    </mc:Choice>
  </mc:AlternateContent>
  <xr:revisionPtr revIDLastSave="0" documentId="13_ncr:1_{437172D5-6B72-4FDE-8E2E-A43B04A9FC4A}" xr6:coauthVersionLast="47" xr6:coauthVersionMax="47" xr10:uidLastSave="{00000000-0000-0000-0000-000000000000}"/>
  <bookViews>
    <workbookView xWindow="-108" yWindow="-108" windowWidth="30936" windowHeight="16896" tabRatio="697" xr2:uid="{0C982FA2-B9AA-4C86-AA26-725A78B63893}"/>
  </bookViews>
  <sheets>
    <sheet name="Titulni List" sheetId="6" r:id="rId1"/>
    <sheet name="Seznam" sheetId="11" r:id="rId2"/>
    <sheet name="List1" sheetId="12" r:id="rId3"/>
  </sheets>
  <definedNames>
    <definedName name="_CAS1">#REF!</definedName>
    <definedName name="_CAS2">#REF!</definedName>
    <definedName name="_CAS3">#REF!</definedName>
    <definedName name="_CAS4" localSheetId="0">'Titulni List'!$C$12</definedName>
    <definedName name="_CAS4">#REF!</definedName>
    <definedName name="_CAS5">#REF!</definedName>
    <definedName name="_DAT1" localSheetId="0">'Titulni List'!$B$56</definedName>
    <definedName name="_DAT1">#REF!</definedName>
    <definedName name="_DAT2" localSheetId="0">'Titulni List'!$B$55</definedName>
    <definedName name="_DAT2">#REF!</definedName>
    <definedName name="_DAT3" localSheetId="0">'Titulni List'!$B$54</definedName>
    <definedName name="_DAT3">#REF!</definedName>
    <definedName name="_DAT4" localSheetId="0">'Titulni List'!$B$53</definedName>
    <definedName name="_DAT4">#REF!</definedName>
    <definedName name="_DAT5" localSheetId="0">'Titulni List'!$B$52</definedName>
    <definedName name="_DAT5">#REF!</definedName>
    <definedName name="_DAT6" localSheetId="0">'Titulni List'!$B$51</definedName>
    <definedName name="_DAT6">#REF!</definedName>
    <definedName name="_xlnm._FilterDatabase" localSheetId="1" hidden="1">Seznam!$A$3:$M$66</definedName>
    <definedName name="_FMA4">#REF!</definedName>
    <definedName name="_NA1">#REF!</definedName>
    <definedName name="_NA2">#REF!</definedName>
    <definedName name="_NA3">#REF!</definedName>
    <definedName name="_NA4" localSheetId="0">'Titulni List'!$C$20</definedName>
    <definedName name="_NA4">#REF!</definedName>
    <definedName name="_NA5">#REF!</definedName>
    <definedName name="_POP1" localSheetId="0">'Titulni List'!$C$56</definedName>
    <definedName name="_POP1">#REF!</definedName>
    <definedName name="_POP2" localSheetId="0">'Titulni List'!$C$55</definedName>
    <definedName name="_POP2">#REF!</definedName>
    <definedName name="_POP3" localSheetId="0">'Titulni List'!$C$54</definedName>
    <definedName name="_POP3">#REF!</definedName>
    <definedName name="_POP4" localSheetId="0">'Titulni List'!$C$53</definedName>
    <definedName name="_POP4">#REF!</definedName>
    <definedName name="_POP5" localSheetId="0">'Titulni List'!$C$52</definedName>
    <definedName name="_POP5">#REF!</definedName>
    <definedName name="_POP6" localSheetId="0">'Titulni List'!$C$51</definedName>
    <definedName name="_POP6">#REF!</definedName>
    <definedName name="_REV1" localSheetId="0">'Titulni List'!$A$56</definedName>
    <definedName name="_REV1">#REF!</definedName>
    <definedName name="_REV2" localSheetId="0">'Titulni List'!$A$55</definedName>
    <definedName name="_REV2">#REF!</definedName>
    <definedName name="_REV3" localSheetId="0">'Titulni List'!$A$54</definedName>
    <definedName name="_REV3">#REF!</definedName>
    <definedName name="_REV4" localSheetId="0">'Titulni List'!$A$53</definedName>
    <definedName name="_REV4">#REF!</definedName>
    <definedName name="_REV5" localSheetId="0">'Titulni List'!$A$52</definedName>
    <definedName name="_REV5">#REF!</definedName>
    <definedName name="_REV6" localSheetId="0">'Titulni List'!$A$51</definedName>
    <definedName name="_REV6">#REF!</definedName>
    <definedName name="_ROZ1">#REF!</definedName>
    <definedName name="_ROZ10">#REF!</definedName>
    <definedName name="_ROZ11">#REF!</definedName>
    <definedName name="_ROZ2">#REF!</definedName>
    <definedName name="_ROZ3">#REF!</definedName>
    <definedName name="_ROZ4">#REF!</definedName>
    <definedName name="_ROZ5">#REF!</definedName>
    <definedName name="_ROZ6">#REF!</definedName>
    <definedName name="_ROZ7">#REF!</definedName>
    <definedName name="_ROZ8">#REF!</definedName>
    <definedName name="_ROZ9">#REF!</definedName>
    <definedName name="CDOK">#REF!</definedName>
    <definedName name="CDOK1" localSheetId="0">'Titulni List'!$D$9</definedName>
    <definedName name="CDOK1">#REF!</definedName>
    <definedName name="CDOK2" localSheetId="0">'Titulni List'!$E$9</definedName>
    <definedName name="CDOK2">#REF!</definedName>
    <definedName name="KONTROL1" localSheetId="0">'Titulni List'!$F$56</definedName>
    <definedName name="KONTROL1">#REF!</definedName>
    <definedName name="KONTROL2" localSheetId="0">'Titulni List'!$F$55</definedName>
    <definedName name="KONTROL2">#REF!</definedName>
    <definedName name="KONTROL3" localSheetId="0">'Titulni List'!$F$54</definedName>
    <definedName name="KONTROL3">#REF!</definedName>
    <definedName name="KONTROL4" localSheetId="0">'Titulni List'!$F$53</definedName>
    <definedName name="KONTROL4">#REF!</definedName>
    <definedName name="KONTROL5" localSheetId="0">'Titulni List'!$F$52</definedName>
    <definedName name="KONTROL5">#REF!</definedName>
    <definedName name="KONTROL6" localSheetId="0">'Titulni List'!$F$51</definedName>
    <definedName name="KONTROL6">#REF!</definedName>
    <definedName name="NAZEV" localSheetId="0">'Titulni List'!$C$19</definedName>
    <definedName name="NAZEV">#REF!</definedName>
    <definedName name="_xlnm.Print_Titles" localSheetId="1">Seznam!$1:$2</definedName>
    <definedName name="_xlnm.Print_Area" localSheetId="1">Seznam!$A$1:$M$70</definedName>
    <definedName name="_xlnm.Print_Area" localSheetId="0">'Titulni List'!$A$1:$I$60</definedName>
    <definedName name="PROJEKT" localSheetId="0">'Titulni List'!$C$13</definedName>
    <definedName name="PROJEKT">#REF!</definedName>
    <definedName name="REV" localSheetId="0">'Titulni List'!$F$9</definedName>
    <definedName name="REV">#REF!</definedName>
    <definedName name="SCHVALIL1" localSheetId="0">'Titulni List'!$G$56</definedName>
    <definedName name="SCHVALIL1">#REF!</definedName>
    <definedName name="SCHVALIL2" localSheetId="0">'Titulni List'!$G$55</definedName>
    <definedName name="SCHVALIL2">#REF!</definedName>
    <definedName name="SCHVALIL3" localSheetId="0">'Titulni List'!$G$54</definedName>
    <definedName name="SCHVALIL3">#REF!</definedName>
    <definedName name="SCHVALIL4" localSheetId="0">'Titulni List'!$G$53</definedName>
    <definedName name="SCHVALIL4">#REF!</definedName>
    <definedName name="SCHVALIL5" localSheetId="0">'Titulni List'!$G$52</definedName>
    <definedName name="SCHVALIL5">#REF!</definedName>
    <definedName name="SCHVALIL6" localSheetId="0">'Titulni List'!$G$51</definedName>
    <definedName name="SCHVALIL6">#REF!</definedName>
    <definedName name="SPD">#REF!</definedName>
    <definedName name="UKOL">#REF!</definedName>
    <definedName name="ZAKAZNIK" localSheetId="0">'Titulni List'!$C$18</definedName>
    <definedName name="ZAKAZNIK">#REF!</definedName>
    <definedName name="ZPRAC1" localSheetId="0">'Titulni List'!$E$56</definedName>
    <definedName name="ZPRAC1">#REF!</definedName>
    <definedName name="ZPRAC2" localSheetId="0">'Titulni List'!$E$55</definedName>
    <definedName name="ZPRAC2">#REF!</definedName>
    <definedName name="ZPRAC3" localSheetId="0">'Titulni List'!$E$54</definedName>
    <definedName name="ZPRAC3">#REF!</definedName>
    <definedName name="ZPRAC4" localSheetId="0">'Titulni List'!$E$53</definedName>
    <definedName name="ZPRAC4">#REF!</definedName>
    <definedName name="ZPRAC5" localSheetId="0">'Titulni List'!$E$52</definedName>
    <definedName name="ZPRAC5">#REF!</definedName>
    <definedName name="ZPRAC6" localSheetId="0">'Titulni List'!$E$51</definedName>
    <definedName name="ZPRAC6">#REF!</definedName>
  </definedNames>
  <calcPr calcId="191029"/>
  <customWorkbookViews>
    <customWorkbookView name="Velechovsky Roman – osobní zobrazení" guid="{2B1DC270-9053-4E5C-B152-8CF6BA3D354F}" mergeInterval="0" personalView="1" maximized="1" windowWidth="1280" windowHeight="838" activeSheetId="3"/>
    <customWorkbookView name="smazil - vlastní pohled" guid="{91074C0B-082D-4737-8BC3-99BBA1C3903F}" mergeInterval="0" personalView="1" xWindow="20" yWindow="43" windowWidth="1162" windowHeight="755" activeSheetId="3"/>
    <customWorkbookView name="teichman - vlastní pohled" guid="{7AF25B9A-6586-4BD3-9A2E-86A6EE32B4C8}" mergeInterval="0" personalView="1" maximized="1" windowWidth="1276" windowHeight="808" activeSheetId="3"/>
    <customWorkbookView name="pekar - vlastní pohled" guid="{A822CADB-C761-417F-8262-57EFBFAFAAB8}" mergeInterval="0" personalView="1" maximized="1" xWindow="2" yWindow="93" windowWidth="2556" windowHeight="862" activeSheetId="3"/>
    <customWorkbookView name="grund - vlastní pohled" guid="{3F32320C-2DAA-4B55-B53A-AD96E0D25C64}" mergeInterval="0" personalView="1" maximized="1" windowWidth="1148" windowHeight="649" activeSheetId="3"/>
    <customWorkbookView name="mercl - vlastní pohled" guid="{B42EF402-9BE0-4B3A-AB4E-40F9B38A834F}" mergeInterval="0" personalView="1" xWindow="3" yWindow="20" windowWidth="1134" windowHeight="674" activeSheetId="3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61" i="11" l="1"/>
  <c r="K28" i="11"/>
  <c r="K24" i="11"/>
  <c r="K47" i="11"/>
  <c r="D55" i="6"/>
  <c r="D54" i="6"/>
  <c r="D53" i="6"/>
  <c r="D52" i="6"/>
  <c r="D51" i="6"/>
  <c r="H15" i="6"/>
  <c r="C11" i="6"/>
  <c r="H10" i="6"/>
  <c r="K49" i="11" l="1"/>
  <c r="K48" i="11"/>
  <c r="K60" i="11"/>
  <c r="K59" i="11"/>
  <c r="K58" i="11"/>
  <c r="K57" i="11"/>
  <c r="K56" i="11"/>
  <c r="K55" i="11"/>
  <c r="K54" i="11"/>
  <c r="K53" i="11"/>
  <c r="K52" i="11"/>
  <c r="K51" i="11"/>
  <c r="K46" i="11"/>
  <c r="K45" i="11"/>
  <c r="K44" i="11"/>
  <c r="K43" i="11"/>
  <c r="K42" i="11"/>
  <c r="K41" i="11"/>
  <c r="K40" i="11"/>
  <c r="K38" i="11"/>
  <c r="K37" i="11"/>
  <c r="K35" i="11"/>
  <c r="K34" i="11"/>
  <c r="K33" i="11"/>
  <c r="K32" i="11"/>
  <c r="K30" i="11"/>
  <c r="K29" i="11"/>
  <c r="K27" i="11"/>
  <c r="K26" i="11"/>
  <c r="K25" i="11"/>
  <c r="K23" i="11"/>
  <c r="K22" i="11"/>
  <c r="K21" i="11"/>
  <c r="K20" i="11"/>
  <c r="K18" i="11"/>
  <c r="K17" i="11"/>
  <c r="K16" i="11"/>
  <c r="K14" i="11"/>
  <c r="K13" i="11"/>
  <c r="K11" i="11"/>
  <c r="K10" i="11"/>
  <c r="K9" i="11"/>
  <c r="K8" i="11"/>
  <c r="K6" i="11"/>
  <c r="K4" i="11"/>
  <c r="M66" i="12" l="1"/>
  <c r="A63" i="12"/>
  <c r="A62" i="12"/>
  <c r="A61" i="12"/>
  <c r="A60" i="12"/>
  <c r="R59" i="12"/>
  <c r="A59" i="12"/>
  <c r="A58" i="12"/>
  <c r="A57" i="12"/>
  <c r="A56" i="12"/>
  <c r="A55" i="12"/>
  <c r="A54" i="12"/>
  <c r="A53" i="12"/>
  <c r="A52" i="12"/>
  <c r="A51" i="12"/>
  <c r="A50" i="12"/>
  <c r="A49" i="12"/>
  <c r="A48" i="12"/>
  <c r="A47" i="12"/>
  <c r="A46" i="12"/>
  <c r="A45" i="12"/>
  <c r="A44" i="12"/>
  <c r="A43" i="12"/>
  <c r="A42" i="12"/>
  <c r="A41" i="12"/>
  <c r="A40" i="12"/>
  <c r="A39" i="12"/>
  <c r="A38" i="12"/>
  <c r="A37" i="12"/>
  <c r="A36" i="12"/>
  <c r="A35" i="12"/>
  <c r="A34" i="12"/>
  <c r="A33" i="12"/>
  <c r="A32" i="12"/>
  <c r="A31" i="12"/>
  <c r="A30" i="12"/>
  <c r="A29" i="12"/>
  <c r="A28" i="12"/>
  <c r="A27" i="12"/>
  <c r="A26" i="12"/>
  <c r="A25" i="12"/>
  <c r="A24" i="12"/>
  <c r="A23" i="12"/>
  <c r="A22" i="12"/>
  <c r="A21" i="12"/>
  <c r="A20" i="12"/>
  <c r="A19" i="12"/>
  <c r="A18" i="12"/>
  <c r="A17" i="12"/>
  <c r="A16" i="12"/>
  <c r="A15" i="12"/>
  <c r="A14" i="12"/>
  <c r="A13" i="12"/>
  <c r="A12" i="12"/>
  <c r="A11" i="12"/>
  <c r="A10" i="12"/>
  <c r="A9" i="12"/>
  <c r="A8" i="12"/>
  <c r="A7" i="12"/>
  <c r="A6" i="12"/>
  <c r="A5" i="12"/>
  <c r="A4" i="12"/>
  <c r="K5" i="11"/>
</calcChain>
</file>

<file path=xl/sharedStrings.xml><?xml version="1.0" encoding="utf-8"?>
<sst xmlns="http://schemas.openxmlformats.org/spreadsheetml/2006/main" count="506" uniqueCount="264">
  <si>
    <t>REV.</t>
  </si>
  <si>
    <t>STAT.</t>
  </si>
  <si>
    <t>TRACTEBEL ENGINEERING a.s.</t>
  </si>
  <si>
    <t xml:space="preserve"> </t>
  </si>
  <si>
    <t>INTERNAL</t>
  </si>
  <si>
    <t>TP-N-</t>
  </si>
  <si>
    <t>&lt;-pozor, v tomto řádku jsou skryté hodnoty</t>
  </si>
  <si>
    <t>PUBLIC</t>
  </si>
  <si>
    <t>RESTRICTED COMMUNICATION</t>
  </si>
  <si>
    <t>CONFIDENTAL</t>
  </si>
  <si>
    <t>&lt;-empty</t>
  </si>
  <si>
    <t>DFT</t>
  </si>
  <si>
    <t>PRL</t>
  </si>
  <si>
    <t>FIN</t>
  </si>
  <si>
    <t>CFC</t>
  </si>
  <si>
    <t>CAN</t>
  </si>
  <si>
    <t>ASB</t>
  </si>
  <si>
    <t>AFL</t>
  </si>
  <si>
    <t>Vyberte status revize:</t>
  </si>
  <si>
    <t>engineering-cz@tractebel.engie.com</t>
  </si>
  <si>
    <t>Kašpar</t>
  </si>
  <si>
    <t>Tucauer</t>
  </si>
  <si>
    <t>Rev.</t>
  </si>
  <si>
    <t>PU</t>
  </si>
  <si>
    <t>VSD</t>
  </si>
  <si>
    <t>No.</t>
  </si>
  <si>
    <t>Start
 motor</t>
  </si>
  <si>
    <t xml:space="preserve">
Remark</t>
  </si>
  <si>
    <t>kW</t>
  </si>
  <si>
    <t>PID</t>
  </si>
  <si>
    <t>0,75</t>
  </si>
  <si>
    <t>Pp (kW)</t>
  </si>
  <si>
    <t>IVCHS</t>
  </si>
  <si>
    <t>D</t>
  </si>
  <si>
    <t>S401</t>
  </si>
  <si>
    <t>G419</t>
  </si>
  <si>
    <t>P495</t>
  </si>
  <si>
    <t>G422</t>
  </si>
  <si>
    <t>J403</t>
  </si>
  <si>
    <t>J404</t>
  </si>
  <si>
    <t>R407</t>
  </si>
  <si>
    <t>O401</t>
  </si>
  <si>
    <t>Nové</t>
  </si>
  <si>
    <t>Nové zaříz.</t>
  </si>
  <si>
    <t>Rozváděč</t>
  </si>
  <si>
    <t>Odstředivé</t>
  </si>
  <si>
    <t>Umístění</t>
  </si>
  <si>
    <t>Zařízení</t>
  </si>
  <si>
    <t>Typ, Velikost</t>
  </si>
  <si>
    <t>Napětí</t>
  </si>
  <si>
    <t>0,84</t>
  </si>
  <si>
    <t>předpokládaný cos fí</t>
  </si>
  <si>
    <t>Předpokládaný soudobý výkon technologie k= 0,65 - 0,75</t>
  </si>
  <si>
    <t>Technol.
 označení</t>
  </si>
  <si>
    <t>Z toho napojeno z RMC (trafo TR2): Pi= 30 kW</t>
  </si>
  <si>
    <t>Poznámka:</t>
  </si>
  <si>
    <t>Stávající spotřebiče objektu Z-24 jsou v dnešním stavu napojeny  z trafostanice S-25, transformátor TR1 (TR3), rozváděč RMC napojen z transformátoru TR2</t>
  </si>
  <si>
    <t>Velikost stávajících transformátorů TR1, TR2, TR3 = á 1000 kVA</t>
  </si>
  <si>
    <t>Neoznačené stávající spotřebiče (technologie, stavba) jsou napojeny z transformátoru TR1 (TR3).</t>
  </si>
  <si>
    <t>P498A</t>
  </si>
  <si>
    <t>P498B</t>
  </si>
  <si>
    <t>P502</t>
  </si>
  <si>
    <t>ČERPADLO (R407)</t>
  </si>
  <si>
    <t>P494</t>
  </si>
  <si>
    <t>ČERPADLO (G422)</t>
  </si>
  <si>
    <t>N402</t>
  </si>
  <si>
    <t>VCHS</t>
  </si>
  <si>
    <t>Pp  [kW]</t>
  </si>
  <si>
    <r>
      <rPr>
        <sz val="9.5"/>
        <rFont val="Calibri"/>
        <family val="2"/>
        <charset val="238"/>
        <scheme val="minor"/>
      </rPr>
      <t>Instalovaný</t>
    </r>
    <r>
      <rPr>
        <sz val="10"/>
        <rFont val="Calibri"/>
        <family val="2"/>
        <charset val="238"/>
        <scheme val="minor"/>
      </rPr>
      <t xml:space="preserve">
Pi [kW]</t>
    </r>
  </si>
  <si>
    <t>Výpočtový</t>
  </si>
  <si>
    <t>Ks</t>
  </si>
  <si>
    <t>1</t>
  </si>
  <si>
    <t>4613</t>
  </si>
  <si>
    <t>REAKTOR + MÍCHADLO</t>
  </si>
  <si>
    <t>Verikální</t>
  </si>
  <si>
    <t>Řádek</t>
  </si>
  <si>
    <t>Náhrada stávajícího</t>
  </si>
  <si>
    <t>Z405</t>
  </si>
  <si>
    <t>Součást dodávky zařízení</t>
  </si>
  <si>
    <t>Dodávka ELE</t>
  </si>
  <si>
    <t>P511</t>
  </si>
  <si>
    <t>Pístomembránové čerpadlo reaktoru R406</t>
  </si>
  <si>
    <t>Písto membránové</t>
  </si>
  <si>
    <t>PŘÍSTAVEK</t>
  </si>
  <si>
    <t>O401.1</t>
  </si>
  <si>
    <t>O401.2</t>
  </si>
  <si>
    <t>O401.3</t>
  </si>
  <si>
    <t>ODSTŘEDIVKA</t>
  </si>
  <si>
    <t xml:space="preserve">POHON HYDRAULICKÉ JEDNOTKY
(HYDRAULIC DRIVE) </t>
  </si>
  <si>
    <t>POHON MAZACÍ JEDNOTKY
(LUBRICATION DRIVE)</t>
  </si>
  <si>
    <t>VYNÁŠECÍ ŠNEK
(DISCHARGE SCREW CONVEYOR)</t>
  </si>
  <si>
    <t>PU1</t>
  </si>
  <si>
    <t>ČERPADLO (H428)</t>
  </si>
  <si>
    <t>Odstředivé MP542</t>
  </si>
  <si>
    <t>S401.1</t>
  </si>
  <si>
    <t>S401.3</t>
  </si>
  <si>
    <t>HC SKID
(HEATING AND COOLING)</t>
  </si>
  <si>
    <t>VACUUM SKID</t>
  </si>
  <si>
    <t>SUŠÁRNA
(Kompletní balená jednotka) + 3x SKID</t>
  </si>
  <si>
    <t>rozváděč součástí dodávky</t>
  </si>
  <si>
    <t>společný rozváděč s O401</t>
  </si>
  <si>
    <t>N407</t>
  </si>
  <si>
    <t>N406</t>
  </si>
  <si>
    <t>N403.1</t>
  </si>
  <si>
    <t>N403.2</t>
  </si>
  <si>
    <t>VÝMĚNÍKOVÁ
STANICE</t>
  </si>
  <si>
    <t>P507</t>
  </si>
  <si>
    <t>DEMISTANICE</t>
  </si>
  <si>
    <t>KOMPRESOROVNA</t>
  </si>
  <si>
    <t>VENKOVNÍ PROSTOR</t>
  </si>
  <si>
    <t>—</t>
  </si>
  <si>
    <t>Rotační podavač pod sušárnou</t>
  </si>
  <si>
    <t>SÍTO</t>
  </si>
  <si>
    <t>ŘÍDÍCÍ A VENTILAČNÍ JEDNOTKA
(CONTROL AND VENTING)</t>
  </si>
  <si>
    <t>SVAŘOVAČKA OBALŮ
(BAG SEALER)</t>
  </si>
  <si>
    <t>ROZPOUŠTĚCÍ NÁDOBA (PŘÍPRAVA ROZTOKŮ + MÍCHADLO( (Nádrž)</t>
  </si>
  <si>
    <t>ČERPADLO (G419)</t>
  </si>
  <si>
    <t>PŘÍPRAVA ČISTÍCÍHO ROZTOKU (Nádrž)</t>
  </si>
  <si>
    <t>ODSTŘEDIVÉ ČERPADLO  (výměníková stanice)</t>
  </si>
  <si>
    <t>STANICE REVERZNÍ OSMÓZY</t>
  </si>
  <si>
    <t>KOMPRESOR + SUŠIČ + VZDUŠNÍK
(Kompletní balená jednotka)</t>
  </si>
  <si>
    <t>KALOVÉ ČERPADLO (Havarijní jímka)</t>
  </si>
  <si>
    <t>Burgenet type</t>
  </si>
  <si>
    <t>Burgener type
(HSP)</t>
  </si>
  <si>
    <t>Vertikální válcová</t>
  </si>
  <si>
    <t>Dle dodavatele</t>
  </si>
  <si>
    <t>Odstředivé čerpadlo</t>
  </si>
  <si>
    <t>Demistanice</t>
  </si>
  <si>
    <t>Šroubový</t>
  </si>
  <si>
    <t>šroubový</t>
  </si>
  <si>
    <t>2,5 t
Elektrický s pojezdem</t>
  </si>
  <si>
    <t>SERVISNÍ KLADKOSTROJ - BigBagy, servis odstředivky a G419</t>
  </si>
  <si>
    <t>PU2</t>
  </si>
  <si>
    <t>PU3</t>
  </si>
  <si>
    <t>RM1, pole 01</t>
  </si>
  <si>
    <t>RM1N</t>
  </si>
  <si>
    <t>CHYBÍ VEŠKERÉ PODKLADY ELE</t>
  </si>
  <si>
    <t>VZT01</t>
  </si>
  <si>
    <t>EC</t>
  </si>
  <si>
    <t>In = 4,3A</t>
  </si>
  <si>
    <t>VZT02</t>
  </si>
  <si>
    <t>VZT03</t>
  </si>
  <si>
    <t>VZT04</t>
  </si>
  <si>
    <t>In = 4,7A</t>
  </si>
  <si>
    <t>AHU01</t>
  </si>
  <si>
    <t>AHU02</t>
  </si>
  <si>
    <t>EHT1</t>
  </si>
  <si>
    <t>Elekktrický otop</t>
  </si>
  <si>
    <t>25A/C + 30mA</t>
  </si>
  <si>
    <t>EHT2</t>
  </si>
  <si>
    <t>EHT3</t>
  </si>
  <si>
    <t>EHT4</t>
  </si>
  <si>
    <t>EHT5</t>
  </si>
  <si>
    <t>EHT6</t>
  </si>
  <si>
    <t>EHT7</t>
  </si>
  <si>
    <t>EHT8</t>
  </si>
  <si>
    <t>EHT9</t>
  </si>
  <si>
    <t>16A/C + 30mA</t>
  </si>
  <si>
    <t>EHT10</t>
  </si>
  <si>
    <t>RM141</t>
  </si>
  <si>
    <t>přívod do RM141 viz ELE</t>
  </si>
  <si>
    <t>AHU1.2A</t>
  </si>
  <si>
    <t>AHU1.2B</t>
  </si>
  <si>
    <t>Požární klapka v Z-24</t>
  </si>
  <si>
    <t>ZS01</t>
  </si>
  <si>
    <t>Zásuvková skříň SO-140, 1. patro</t>
  </si>
  <si>
    <t>ZS02</t>
  </si>
  <si>
    <t>Zásuvková skříň SO-140, 2. patro</t>
  </si>
  <si>
    <t>ZS03</t>
  </si>
  <si>
    <t>Zásuvková skříň SO-140, 3. patro</t>
  </si>
  <si>
    <t>ZS04</t>
  </si>
  <si>
    <t>Zásuvková skříň SO-140, 4. patro</t>
  </si>
  <si>
    <t>PK1</t>
  </si>
  <si>
    <t>400V</t>
  </si>
  <si>
    <t>32A</t>
  </si>
  <si>
    <t>RM143</t>
  </si>
  <si>
    <t>Csato</t>
  </si>
  <si>
    <t>Lučební závody Draslovka a.s. Kolín</t>
  </si>
  <si>
    <t>SEMIPROVOZ IVCHS</t>
  </si>
  <si>
    <t>Dokumentace pro provádění stavby</t>
  </si>
  <si>
    <t>Soupis spotřebičů</t>
  </si>
  <si>
    <t>K připomínkám</t>
  </si>
  <si>
    <t>SEZNAM</t>
  </si>
  <si>
    <t>SPECIFIKACE</t>
  </si>
  <si>
    <t>Pernerova, 168 – 530 02 Pardubice – CZECH REPUBLIC</t>
  </si>
  <si>
    <t>VÝKAZ MATERIÁLU</t>
  </si>
  <si>
    <t>VÝPOČET</t>
  </si>
  <si>
    <t>Vyberte typ dokumentu:</t>
  </si>
  <si>
    <t xml:space="preserve">tractebel-engie.com </t>
  </si>
  <si>
    <t>Číslo dokumentu:</t>
  </si>
  <si>
    <t>Orientační číslo:</t>
  </si>
  <si>
    <t>D1.2-1-002</t>
  </si>
  <si>
    <t>UPOZORNĚNÍ! Tento dokument je duševním vlastnictvím fy. TRACTEBEL Engineering a.s. Nesmí být rozmnožován, ukazován ani předán třetí straně bez písemného souhlasu fy. TRACTEBEL Engineering a.s.</t>
  </si>
  <si>
    <t>Číslo projektu:</t>
  </si>
  <si>
    <t>W.0038220200</t>
  </si>
  <si>
    <t>W.005685 0300</t>
  </si>
  <si>
    <t>Vyberte stupeň utajení:</t>
  </si>
  <si>
    <t>Zákazník:</t>
  </si>
  <si>
    <t>Luèební závody Draslovka a.s. Kolín</t>
  </si>
  <si>
    <t>Projekt:</t>
  </si>
  <si>
    <t>Výroba komplex. slouèenin používaných pro akumulaci el. energie</t>
  </si>
  <si>
    <t>Stupeň:</t>
  </si>
  <si>
    <t>Seznam strojù a zaøízení</t>
  </si>
  <si>
    <t>Název:</t>
  </si>
  <si>
    <t>Komentáře:</t>
  </si>
  <si>
    <t>DSP</t>
  </si>
  <si>
    <t>DATUM</t>
  </si>
  <si>
    <t>POPIS ZMĚNY</t>
  </si>
  <si>
    <t>ZPRACOVAL</t>
  </si>
  <si>
    <t>KONTROLOVAL</t>
  </si>
  <si>
    <t>SCHVÁLIL</t>
  </si>
  <si>
    <t>OVĚŘIL</t>
  </si>
  <si>
    <t>TRACTEBEL ENGINERING a.s., se sídlem Pernerova 168, Zelené Předměstí, 530 02 Pardubice  - ČESKÁ REPUBLIKA</t>
  </si>
  <si>
    <t>zapsaná v obch. rejstříku u Krajského soudu v Hradci Králové, oddíl B, vložka 135</t>
  </si>
  <si>
    <t>D2-c.002</t>
  </si>
  <si>
    <t>PS-144 Technologická elektroinstalace</t>
  </si>
  <si>
    <t>TP-N-9560 / rev. 0</t>
  </si>
  <si>
    <t>Pi [kW]</t>
  </si>
  <si>
    <t>Instalovaný</t>
  </si>
  <si>
    <t>U [V]</t>
  </si>
  <si>
    <t>Start</t>
  </si>
  <si>
    <t>motoru</t>
  </si>
  <si>
    <t>Remark</t>
  </si>
  <si>
    <t>Poznámka</t>
  </si>
  <si>
    <t>Equpment</t>
  </si>
  <si>
    <t>O401+UC1</t>
  </si>
  <si>
    <t>Změna</t>
  </si>
  <si>
    <t>Brzdný odpor ??</t>
  </si>
  <si>
    <t>Typ</t>
  </si>
  <si>
    <t>Motor</t>
  </si>
  <si>
    <t>Mootr</t>
  </si>
  <si>
    <t>??</t>
  </si>
  <si>
    <t>MS</t>
  </si>
  <si>
    <t>Rozvaděč</t>
  </si>
  <si>
    <t>NÁSYPKA FERRO KYANIDU (pro G419) Výsypka BigBagů</t>
  </si>
  <si>
    <t>Nebude</t>
  </si>
  <si>
    <t xml:space="preserve">Přes zásuvku </t>
  </si>
  <si>
    <t>Ne</t>
  </si>
  <si>
    <t>AHU03</t>
  </si>
  <si>
    <t>MX</t>
  </si>
  <si>
    <t>Přívod</t>
  </si>
  <si>
    <t>N405</t>
  </si>
  <si>
    <t>OVINOVAČKA</t>
  </si>
  <si>
    <t>L410</t>
  </si>
  <si>
    <t>VENTILÁTOR ODPLYNŮ</t>
  </si>
  <si>
    <t>3.02</t>
  </si>
  <si>
    <t>10A/C + 30mA</t>
  </si>
  <si>
    <t>EHT11</t>
  </si>
  <si>
    <t>Dodávka ELE, In = 8,43A</t>
  </si>
  <si>
    <t>ZATÍMNENÍ SPECIFIKOVÁNO</t>
  </si>
  <si>
    <t>NENÍ JASNÉ KDO DODÁVÁ VSD?</t>
  </si>
  <si>
    <t>Vypínač</t>
  </si>
  <si>
    <t>HVAC UNIT 2.01, motor M916</t>
  </si>
  <si>
    <t>HVAC UNIT 2.01, motor M925</t>
  </si>
  <si>
    <t>HVAC UNIT 1.01, motor M914</t>
  </si>
  <si>
    <t>HVAC UNIT 3.01. motro M918</t>
  </si>
  <si>
    <t>HVAC UNIT 1.02, Motor M920</t>
  </si>
  <si>
    <t>AIR HEATING UNIT "SAHARA", Motor M921</t>
  </si>
  <si>
    <t>AIR HEATING UNIT "SAHARA", Motor M923</t>
  </si>
  <si>
    <r>
      <t xml:space="preserve">AIR HEATING UNIT "SAHARA" </t>
    </r>
    <r>
      <rPr>
        <sz val="10"/>
        <color rgb="FFFF0000"/>
        <rFont val="Calibri"/>
        <family val="2"/>
        <charset val="238"/>
        <scheme val="minor"/>
      </rPr>
      <t>Motor M929</t>
    </r>
  </si>
  <si>
    <t>Stávající, neřešeno</t>
  </si>
  <si>
    <t>AIR HEATING UNIT "SAHARA", Motor M_F412_18</t>
  </si>
  <si>
    <t>AIR HEATING UNIT "SAHARA"Motor M_F412_19</t>
  </si>
  <si>
    <t>Střecha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</si>
</sst>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9">
    <font>
      <sz val="10"/>
      <name val="Arial CE"/>
      <charset val="238"/>
    </font>
    <font>
      <sz val="11"/>
      <color theme="1"/>
      <name val="Calibri"/>
      <family val="2"/>
      <charset val="238"/>
      <scheme val="minor"/>
    </font>
    <font>
      <sz val="7"/>
      <name val="Tahoma"/>
      <family val="2"/>
      <charset val="238"/>
    </font>
    <font>
      <sz val="10"/>
      <name val="MS Sans Serif"/>
      <charset val="238"/>
    </font>
    <font>
      <sz val="10"/>
      <name val="NimbusRoman"/>
      <charset val="238"/>
    </font>
    <font>
      <sz val="8"/>
      <name val="Arial CE"/>
      <charset val="238"/>
    </font>
    <font>
      <sz val="11"/>
      <color theme="1"/>
      <name val="Calibri"/>
      <family val="2"/>
      <charset val="238"/>
      <scheme val="minor"/>
    </font>
    <font>
      <sz val="11"/>
      <color theme="1"/>
      <name val="Tahoma"/>
      <family val="2"/>
      <charset val="238"/>
    </font>
    <font>
      <b/>
      <sz val="8"/>
      <color rgb="FF1C2691"/>
      <name val="Tahoma"/>
      <family val="2"/>
      <charset val="238"/>
    </font>
    <font>
      <sz val="8"/>
      <color theme="0" tint="-0.499984740745262"/>
      <name val="Tahoma"/>
      <family val="2"/>
      <charset val="238"/>
    </font>
    <font>
      <sz val="11"/>
      <color theme="0" tint="-0.499984740745262"/>
      <name val="Tahoma"/>
      <family val="2"/>
      <charset val="238"/>
    </font>
    <font>
      <b/>
      <sz val="8"/>
      <color theme="1"/>
      <name val="Tahoma"/>
      <family val="2"/>
      <charset val="238"/>
    </font>
    <font>
      <sz val="8"/>
      <color theme="1"/>
      <name val="Tahoma"/>
      <family val="2"/>
      <charset val="238"/>
    </font>
    <font>
      <b/>
      <sz val="9"/>
      <color theme="1"/>
      <name val="Tahoma"/>
      <family val="2"/>
      <charset val="238"/>
    </font>
    <font>
      <sz val="9"/>
      <color theme="1"/>
      <name val="Tahoma"/>
      <family val="2"/>
      <charset val="238"/>
    </font>
    <font>
      <b/>
      <sz val="6"/>
      <color rgb="FF1C2691"/>
      <name val="Tahoma"/>
      <family val="2"/>
      <charset val="238"/>
    </font>
    <font>
      <sz val="6"/>
      <color theme="1"/>
      <name val="Tahoma"/>
      <family val="2"/>
      <charset val="238"/>
    </font>
    <font>
      <sz val="11"/>
      <color theme="0"/>
      <name val="Tahoma"/>
      <family val="2"/>
      <charset val="238"/>
    </font>
    <font>
      <sz val="3"/>
      <color theme="1"/>
      <name val="Tahoma"/>
      <family val="2"/>
      <charset val="238"/>
    </font>
    <font>
      <sz val="6"/>
      <color theme="0" tint="-0.499984740745262"/>
      <name val="Tahoma"/>
      <family val="2"/>
      <charset val="238"/>
    </font>
    <font>
      <b/>
      <sz val="10"/>
      <color rgb="FFB878BF"/>
      <name val="Tahoma"/>
      <family val="2"/>
      <charset val="238"/>
    </font>
    <font>
      <b/>
      <sz val="8"/>
      <color rgb="FF002060"/>
      <name val="Tahoma"/>
      <family val="2"/>
      <charset val="238"/>
    </font>
    <font>
      <sz val="8"/>
      <color rgb="FF002060"/>
      <name val="Tahoma"/>
      <family val="2"/>
      <charset val="238"/>
    </font>
    <font>
      <b/>
      <sz val="15"/>
      <color rgb="FF3399FF"/>
      <name val="Tahoma"/>
      <family val="2"/>
      <charset val="238"/>
    </font>
    <font>
      <sz val="6"/>
      <color rgb="FF808080"/>
      <name val="Tahoma"/>
      <family val="2"/>
      <charset val="238"/>
    </font>
    <font>
      <b/>
      <sz val="6"/>
      <color rgb="FF3399FF"/>
      <name val="Tahoma"/>
      <family val="2"/>
      <charset val="238"/>
    </font>
    <font>
      <b/>
      <sz val="7.5"/>
      <color rgb="FF002060"/>
      <name val="Tahoma"/>
      <family val="2"/>
      <charset val="238"/>
    </font>
    <font>
      <sz val="10"/>
      <color rgb="FF00B050"/>
      <name val="Arial CE"/>
      <charset val="238"/>
    </font>
    <font>
      <sz val="6"/>
      <color rgb="FF1C2690"/>
      <name val="Tahoma"/>
      <family val="2"/>
      <charset val="238"/>
    </font>
    <font>
      <sz val="10"/>
      <name val="Calibri"/>
      <family val="2"/>
      <charset val="238"/>
      <scheme val="minor"/>
    </font>
    <font>
      <b/>
      <sz val="10"/>
      <name val="Calibri"/>
      <family val="2"/>
      <charset val="238"/>
      <scheme val="minor"/>
    </font>
    <font>
      <sz val="10"/>
      <color rgb="FF0070C0"/>
      <name val="Calibri"/>
      <family val="2"/>
      <charset val="238"/>
      <scheme val="minor"/>
    </font>
    <font>
      <sz val="10"/>
      <color rgb="FF00B0F0"/>
      <name val="Calibri"/>
      <family val="2"/>
      <charset val="238"/>
      <scheme val="minor"/>
    </font>
    <font>
      <sz val="9.5"/>
      <name val="Calibri"/>
      <family val="2"/>
      <charset val="238"/>
      <scheme val="minor"/>
    </font>
    <font>
      <sz val="10"/>
      <color rgb="FFFF0000"/>
      <name val="Calibri"/>
      <family val="2"/>
      <charset val="238"/>
      <scheme val="minor"/>
    </font>
    <font>
      <b/>
      <sz val="8"/>
      <color theme="0" tint="-0.499984740745262"/>
      <name val="Tahoma"/>
      <family val="2"/>
      <charset val="238"/>
    </font>
    <font>
      <b/>
      <sz val="15"/>
      <color rgb="FF00AAFF"/>
      <name val="Tahoma"/>
      <family val="2"/>
      <charset val="238"/>
    </font>
    <font>
      <b/>
      <sz val="10"/>
      <name val="Tahoma"/>
      <family val="2"/>
      <charset val="238"/>
    </font>
    <font>
      <b/>
      <sz val="6"/>
      <color rgb="FF00AAFF"/>
      <name val="Tahoma"/>
      <family val="2"/>
      <charset val="238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</borders>
  <cellStyleXfs count="4">
    <xf numFmtId="0" fontId="0" fillId="0" borderId="0"/>
    <xf numFmtId="0" fontId="6" fillId="0" borderId="0"/>
    <xf numFmtId="0" fontId="3" fillId="0" borderId="0"/>
    <xf numFmtId="0" fontId="1" fillId="0" borderId="0"/>
  </cellStyleXfs>
  <cellXfs count="99">
    <xf numFmtId="0" fontId="0" fillId="0" borderId="0" xfId="0"/>
    <xf numFmtId="0" fontId="27" fillId="0" borderId="0" xfId="0" applyFont="1"/>
    <xf numFmtId="0" fontId="4" fillId="0" borderId="0" xfId="2" applyFont="1" applyAlignment="1">
      <alignment horizontal="center" vertical="center" wrapText="1"/>
    </xf>
    <xf numFmtId="0" fontId="4" fillId="0" borderId="0" xfId="2" applyFont="1" applyAlignment="1">
      <alignment horizontal="center" vertical="center"/>
    </xf>
    <xf numFmtId="0" fontId="29" fillId="0" borderId="7" xfId="2" applyFont="1" applyBorder="1" applyAlignment="1">
      <alignment horizontal="center" vertical="center" wrapText="1"/>
    </xf>
    <xf numFmtId="0" fontId="29" fillId="0" borderId="6" xfId="2" applyFont="1" applyBorder="1" applyAlignment="1">
      <alignment horizontal="center" vertical="center" wrapText="1"/>
    </xf>
    <xf numFmtId="49" fontId="29" fillId="0" borderId="2" xfId="2" applyNumberFormat="1" applyFont="1" applyBorder="1" applyAlignment="1">
      <alignment horizontal="center"/>
    </xf>
    <xf numFmtId="1" fontId="29" fillId="0" borderId="3" xfId="2" applyNumberFormat="1" applyFont="1" applyBorder="1" applyAlignment="1">
      <alignment horizontal="center"/>
    </xf>
    <xf numFmtId="0" fontId="29" fillId="0" borderId="2" xfId="2" applyFont="1" applyBorder="1" applyAlignment="1">
      <alignment horizontal="center"/>
    </xf>
    <xf numFmtId="0" fontId="0" fillId="0" borderId="0" xfId="0" applyAlignment="1">
      <alignment horizontal="left" vertical="center"/>
    </xf>
    <xf numFmtId="49" fontId="29" fillId="0" borderId="12" xfId="2" applyNumberFormat="1" applyFont="1" applyBorder="1" applyAlignment="1">
      <alignment horizontal="center"/>
    </xf>
    <xf numFmtId="0" fontId="32" fillId="0" borderId="3" xfId="2" applyFont="1" applyBorder="1" applyAlignment="1">
      <alignment horizontal="center"/>
    </xf>
    <xf numFmtId="0" fontId="31" fillId="0" borderId="3" xfId="2" applyFont="1" applyBorder="1" applyAlignment="1">
      <alignment horizontal="center"/>
    </xf>
    <xf numFmtId="0" fontId="29" fillId="0" borderId="3" xfId="2" applyFont="1" applyBorder="1" applyAlignment="1">
      <alignment horizontal="center"/>
    </xf>
    <xf numFmtId="0" fontId="29" fillId="0" borderId="4" xfId="2" applyFont="1" applyBorder="1" applyAlignment="1">
      <alignment horizontal="center"/>
    </xf>
    <xf numFmtId="1" fontId="29" fillId="0" borderId="4" xfId="2" applyNumberFormat="1" applyFont="1" applyBorder="1" applyAlignment="1">
      <alignment horizontal="center"/>
    </xf>
    <xf numFmtId="0" fontId="29" fillId="0" borderId="3" xfId="2" applyFont="1" applyBorder="1" applyAlignment="1">
      <alignment horizontal="center" wrapText="1"/>
    </xf>
    <xf numFmtId="49" fontId="0" fillId="0" borderId="0" xfId="0" applyNumberFormat="1"/>
    <xf numFmtId="0" fontId="29" fillId="0" borderId="5" xfId="2" applyFont="1" applyBorder="1" applyAlignment="1">
      <alignment horizontal="center"/>
    </xf>
    <xf numFmtId="0" fontId="29" fillId="0" borderId="12" xfId="2" applyFont="1" applyBorder="1" applyAlignment="1">
      <alignment horizontal="center"/>
    </xf>
    <xf numFmtId="0" fontId="30" fillId="0" borderId="2" xfId="2" applyFont="1" applyBorder="1" applyAlignment="1">
      <alignment horizontal="center"/>
    </xf>
    <xf numFmtId="0" fontId="31" fillId="0" borderId="2" xfId="2" applyFont="1" applyBorder="1" applyAlignment="1">
      <alignment horizontal="center"/>
    </xf>
    <xf numFmtId="0" fontId="31" fillId="0" borderId="5" xfId="2" applyFont="1" applyBorder="1" applyAlignment="1">
      <alignment horizontal="center" wrapText="1"/>
    </xf>
    <xf numFmtId="0" fontId="31" fillId="0" borderId="2" xfId="2" applyFont="1" applyBorder="1" applyAlignment="1">
      <alignment horizontal="center" wrapText="1"/>
    </xf>
    <xf numFmtId="0" fontId="29" fillId="0" borderId="2" xfId="2" applyFont="1" applyBorder="1" applyAlignment="1">
      <alignment horizontal="center" wrapText="1"/>
    </xf>
    <xf numFmtId="0" fontId="29" fillId="0" borderId="3" xfId="2" applyFont="1" applyBorder="1" applyAlignment="1" applyProtection="1">
      <alignment horizontal="center"/>
      <protection hidden="1"/>
    </xf>
    <xf numFmtId="0" fontId="29" fillId="0" borderId="2" xfId="2" applyFont="1" applyBorder="1" applyAlignment="1" applyProtection="1">
      <alignment horizontal="center"/>
      <protection hidden="1"/>
    </xf>
    <xf numFmtId="49" fontId="29" fillId="0" borderId="3" xfId="2" applyNumberFormat="1" applyFont="1" applyBorder="1" applyAlignment="1">
      <alignment horizontal="center"/>
    </xf>
    <xf numFmtId="49" fontId="29" fillId="0" borderId="5" xfId="2" applyNumberFormat="1" applyFont="1" applyBorder="1" applyAlignment="1">
      <alignment horizontal="center"/>
    </xf>
    <xf numFmtId="0" fontId="29" fillId="0" borderId="5" xfId="2" applyFont="1" applyBorder="1" applyAlignment="1">
      <alignment horizontal="center" wrapText="1"/>
    </xf>
    <xf numFmtId="49" fontId="29" fillId="0" borderId="5" xfId="2" applyNumberFormat="1" applyFont="1" applyBorder="1" applyAlignment="1">
      <alignment horizontal="center" wrapText="1"/>
    </xf>
    <xf numFmtId="49" fontId="29" fillId="0" borderId="2" xfId="2" applyNumberFormat="1" applyFont="1" applyBorder="1" applyAlignment="1">
      <alignment horizontal="center" wrapText="1"/>
    </xf>
    <xf numFmtId="49" fontId="29" fillId="0" borderId="3" xfId="2" applyNumberFormat="1" applyFont="1" applyBorder="1" applyAlignment="1">
      <alignment horizontal="center" wrapText="1"/>
    </xf>
    <xf numFmtId="49" fontId="29" fillId="0" borderId="2" xfId="2" applyNumberFormat="1" applyFont="1" applyBorder="1" applyAlignment="1" applyProtection="1">
      <alignment horizontal="center"/>
      <protection hidden="1"/>
    </xf>
    <xf numFmtId="0" fontId="34" fillId="0" borderId="5" xfId="2" applyFont="1" applyBorder="1" applyAlignment="1">
      <alignment horizontal="center" wrapText="1"/>
    </xf>
    <xf numFmtId="0" fontId="31" fillId="2" borderId="2" xfId="2" applyFont="1" applyFill="1" applyBorder="1" applyAlignment="1">
      <alignment horizontal="center"/>
    </xf>
    <xf numFmtId="0" fontId="34" fillId="2" borderId="5" xfId="2" applyFont="1" applyFill="1" applyBorder="1" applyAlignment="1">
      <alignment horizontal="center" wrapText="1"/>
    </xf>
    <xf numFmtId="0" fontId="34" fillId="0" borderId="2" xfId="2" applyFont="1" applyBorder="1" applyAlignment="1">
      <alignment horizontal="center"/>
    </xf>
    <xf numFmtId="0" fontId="29" fillId="0" borderId="9" xfId="2" applyFont="1" applyBorder="1" applyAlignment="1">
      <alignment horizontal="center" vertical="center" wrapText="1"/>
    </xf>
    <xf numFmtId="0" fontId="29" fillId="0" borderId="11" xfId="2" applyFont="1" applyBorder="1" applyAlignment="1">
      <alignment horizontal="center" vertical="center"/>
    </xf>
    <xf numFmtId="0" fontId="29" fillId="0" borderId="6" xfId="2" applyFont="1" applyBorder="1" applyAlignment="1">
      <alignment horizontal="center" vertical="center"/>
    </xf>
    <xf numFmtId="0" fontId="11" fillId="0" borderId="0" xfId="3" applyFont="1" applyAlignment="1">
      <alignment vertical="center"/>
    </xf>
    <xf numFmtId="0" fontId="14" fillId="0" borderId="0" xfId="3" applyFont="1" applyAlignment="1">
      <alignment vertical="center"/>
    </xf>
    <xf numFmtId="14" fontId="2" fillId="0" borderId="1" xfId="3" applyNumberFormat="1" applyFont="1" applyBorder="1" applyAlignment="1">
      <alignment horizontal="center" vertical="center" wrapText="1"/>
    </xf>
    <xf numFmtId="0" fontId="1" fillId="0" borderId="0" xfId="3"/>
    <xf numFmtId="0" fontId="7" fillId="0" borderId="0" xfId="3" applyFont="1"/>
    <xf numFmtId="0" fontId="9" fillId="0" borderId="0" xfId="3" applyFont="1"/>
    <xf numFmtId="0" fontId="8" fillId="0" borderId="0" xfId="3" applyFont="1" applyAlignment="1">
      <alignment vertical="top"/>
    </xf>
    <xf numFmtId="0" fontId="9" fillId="0" borderId="0" xfId="3" applyFont="1" applyAlignment="1">
      <alignment vertical="top"/>
    </xf>
    <xf numFmtId="0" fontId="10" fillId="0" borderId="0" xfId="3" applyFont="1"/>
    <xf numFmtId="0" fontId="35" fillId="0" borderId="0" xfId="3" applyFont="1" applyAlignment="1">
      <alignment vertical="top"/>
    </xf>
    <xf numFmtId="0" fontId="17" fillId="0" borderId="0" xfId="3" applyFont="1"/>
    <xf numFmtId="0" fontId="18" fillId="0" borderId="0" xfId="3" applyFont="1"/>
    <xf numFmtId="0" fontId="19" fillId="0" borderId="0" xfId="3" applyFont="1"/>
    <xf numFmtId="0" fontId="23" fillId="0" borderId="0" xfId="3" applyFont="1" applyAlignment="1">
      <alignment horizontal="right" vertical="top"/>
    </xf>
    <xf numFmtId="0" fontId="36" fillId="0" borderId="0" xfId="3" applyFont="1" applyAlignment="1">
      <alignment horizontal="right" vertical="top"/>
    </xf>
    <xf numFmtId="0" fontId="21" fillId="0" borderId="0" xfId="3" applyFont="1" applyAlignment="1">
      <alignment vertical="top"/>
    </xf>
    <xf numFmtId="0" fontId="12" fillId="0" borderId="0" xfId="3" applyFont="1"/>
    <xf numFmtId="0" fontId="11" fillId="0" borderId="0" xfId="3" applyFont="1" applyAlignment="1">
      <alignment vertical="top"/>
    </xf>
    <xf numFmtId="0" fontId="12" fillId="0" borderId="0" xfId="3" applyFont="1" applyAlignment="1">
      <alignment vertical="top"/>
    </xf>
    <xf numFmtId="0" fontId="22" fillId="0" borderId="0" xfId="3" applyFont="1" applyAlignment="1">
      <alignment vertical="top"/>
    </xf>
    <xf numFmtId="0" fontId="12" fillId="0" borderId="0" xfId="3" applyFont="1" applyAlignment="1" applyProtection="1">
      <alignment vertical="top"/>
      <protection locked="0"/>
    </xf>
    <xf numFmtId="0" fontId="12" fillId="0" borderId="0" xfId="3" applyFont="1" applyAlignment="1">
      <alignment horizontal="left" vertical="top" indent="8"/>
    </xf>
    <xf numFmtId="0" fontId="12" fillId="0" borderId="0" xfId="3" applyFont="1" applyAlignment="1">
      <alignment horizontal="left" vertical="top"/>
    </xf>
    <xf numFmtId="0" fontId="20" fillId="0" borderId="0" xfId="3" applyFont="1" applyAlignment="1">
      <alignment horizontal="right"/>
    </xf>
    <xf numFmtId="0" fontId="37" fillId="0" borderId="0" xfId="3" applyFont="1" applyAlignment="1">
      <alignment horizontal="right"/>
    </xf>
    <xf numFmtId="0" fontId="26" fillId="0" borderId="0" xfId="3" applyFont="1" applyAlignment="1">
      <alignment vertical="center"/>
    </xf>
    <xf numFmtId="0" fontId="13" fillId="0" borderId="0" xfId="3" applyFont="1" applyAlignment="1">
      <alignment horizontal="left" vertical="center"/>
    </xf>
    <xf numFmtId="0" fontId="13" fillId="0" borderId="0" xfId="3" applyFont="1" applyAlignment="1">
      <alignment vertical="center"/>
    </xf>
    <xf numFmtId="0" fontId="14" fillId="0" borderId="0" xfId="3" applyFont="1" applyAlignment="1">
      <alignment horizontal="left" vertical="center"/>
    </xf>
    <xf numFmtId="0" fontId="14" fillId="0" borderId="0" xfId="3" applyFont="1"/>
    <xf numFmtId="0" fontId="7" fillId="0" borderId="0" xfId="3" quotePrefix="1" applyFont="1"/>
    <xf numFmtId="0" fontId="2" fillId="0" borderId="1" xfId="3" applyFont="1" applyBorder="1" applyAlignment="1">
      <alignment horizontal="left" vertical="center" wrapText="1" indent="1"/>
    </xf>
    <xf numFmtId="0" fontId="2" fillId="0" borderId="0" xfId="3" applyFont="1" applyAlignment="1">
      <alignment vertical="center" wrapText="1"/>
    </xf>
    <xf numFmtId="0" fontId="2" fillId="0" borderId="1" xfId="3" applyFont="1" applyBorder="1" applyAlignment="1">
      <alignment horizontal="center" vertical="center" wrapText="1"/>
    </xf>
    <xf numFmtId="0" fontId="2" fillId="0" borderId="1" xfId="3" applyFont="1" applyBorder="1" applyAlignment="1">
      <alignment vertical="center" wrapText="1"/>
    </xf>
    <xf numFmtId="0" fontId="38" fillId="0" borderId="0" xfId="3" applyFont="1" applyAlignment="1">
      <alignment vertical="center" wrapText="1"/>
    </xf>
    <xf numFmtId="0" fontId="25" fillId="0" borderId="0" xfId="3" applyFont="1" applyAlignment="1">
      <alignment vertical="center" wrapText="1"/>
    </xf>
    <xf numFmtId="0" fontId="15" fillId="0" borderId="0" xfId="3" applyFont="1" applyAlignment="1">
      <alignment horizontal="left" vertical="center" wrapText="1" indent="1"/>
    </xf>
    <xf numFmtId="0" fontId="24" fillId="0" borderId="0" xfId="3" applyFont="1" applyAlignment="1">
      <alignment vertical="center"/>
    </xf>
    <xf numFmtId="0" fontId="16" fillId="0" borderId="0" xfId="3" applyFont="1" applyAlignment="1">
      <alignment vertical="center"/>
    </xf>
    <xf numFmtId="0" fontId="29" fillId="0" borderId="7" xfId="2" applyFont="1" applyBorder="1" applyAlignment="1">
      <alignment vertical="center" wrapText="1"/>
    </xf>
    <xf numFmtId="0" fontId="29" fillId="0" borderId="6" xfId="2" applyFont="1" applyBorder="1" applyAlignment="1">
      <alignment horizontal="center" wrapText="1"/>
    </xf>
    <xf numFmtId="0" fontId="33" fillId="0" borderId="7" xfId="2" applyFont="1" applyBorder="1" applyAlignment="1">
      <alignment horizontal="center" wrapText="1"/>
    </xf>
    <xf numFmtId="49" fontId="31" fillId="0" borderId="2" xfId="2" applyNumberFormat="1" applyFont="1" applyBorder="1" applyAlignment="1">
      <alignment horizontal="center"/>
    </xf>
    <xf numFmtId="0" fontId="31" fillId="3" borderId="3" xfId="2" applyFont="1" applyFill="1" applyBorder="1" applyAlignment="1">
      <alignment horizontal="center"/>
    </xf>
    <xf numFmtId="0" fontId="34" fillId="0" borderId="13" xfId="2" applyFont="1" applyBorder="1" applyAlignment="1">
      <alignment horizontal="center" wrapText="1"/>
    </xf>
    <xf numFmtId="0" fontId="0" fillId="0" borderId="0" xfId="0" applyAlignment="1">
      <alignment horizontal="center" vertical="center"/>
    </xf>
    <xf numFmtId="0" fontId="28" fillId="0" borderId="0" xfId="3" applyFont="1" applyAlignment="1">
      <alignment horizontal="center" textRotation="90"/>
    </xf>
    <xf numFmtId="49" fontId="29" fillId="0" borderId="7" xfId="2" applyNumberFormat="1" applyFont="1" applyBorder="1" applyAlignment="1">
      <alignment horizontal="center" vertical="center" wrapText="1"/>
    </xf>
    <xf numFmtId="49" fontId="29" fillId="0" borderId="6" xfId="2" applyNumberFormat="1" applyFont="1" applyBorder="1" applyAlignment="1">
      <alignment horizontal="center" vertical="center"/>
    </xf>
    <xf numFmtId="0" fontId="29" fillId="0" borderId="7" xfId="2" applyFont="1" applyBorder="1" applyAlignment="1">
      <alignment horizontal="center" vertical="center" wrapText="1"/>
    </xf>
    <xf numFmtId="0" fontId="29" fillId="0" borderId="6" xfId="2" applyFont="1" applyBorder="1" applyAlignment="1">
      <alignment horizontal="center" vertical="center"/>
    </xf>
    <xf numFmtId="0" fontId="29" fillId="0" borderId="6" xfId="2" applyFont="1" applyBorder="1" applyAlignment="1">
      <alignment horizontal="center" vertical="center" wrapText="1"/>
    </xf>
    <xf numFmtId="0" fontId="29" fillId="0" borderId="8" xfId="2" applyFont="1" applyBorder="1" applyAlignment="1">
      <alignment horizontal="center" vertical="center" textRotation="90"/>
    </xf>
    <xf numFmtId="0" fontId="29" fillId="0" borderId="10" xfId="2" applyFont="1" applyBorder="1" applyAlignment="1">
      <alignment horizontal="center" vertical="center"/>
    </xf>
    <xf numFmtId="0" fontId="29" fillId="0" borderId="7" xfId="2" applyFont="1" applyBorder="1" applyAlignment="1">
      <alignment horizontal="center" vertical="center" textRotation="90" wrapText="1"/>
    </xf>
    <xf numFmtId="0" fontId="29" fillId="0" borderId="9" xfId="2" applyFont="1" applyBorder="1" applyAlignment="1">
      <alignment horizontal="center" vertical="center" wrapText="1"/>
    </xf>
    <xf numFmtId="0" fontId="29" fillId="0" borderId="11" xfId="2" applyFont="1" applyBorder="1" applyAlignment="1">
      <alignment horizontal="center" vertical="center"/>
    </xf>
  </cellXfs>
  <cellStyles count="4">
    <cellStyle name="Normální" xfId="0" builtinId="0"/>
    <cellStyle name="Normální 2" xfId="1" xr:uid="{830EC548-3B61-4C3E-93D8-F3E195FCD058}"/>
    <cellStyle name="Normální 2 3 2 2" xfId="3" xr:uid="{93D22EFE-F3B5-4340-9F2F-F1F293A26EB7}"/>
    <cellStyle name="normální_Soupis_spotrebicu" xfId="2" xr:uid="{E32D08A8-2DB2-4FBA-9727-BD790D2FFEAB}"/>
  </cellStyles>
  <dxfs count="4">
    <dxf>
      <font>
        <color rgb="FFFF6E23"/>
      </font>
    </dxf>
    <dxf>
      <font>
        <color rgb="FF1C2691"/>
      </font>
    </dxf>
    <dxf>
      <font>
        <color rgb="FFFF0000"/>
      </font>
    </dxf>
    <dxf>
      <font>
        <color rgb="FFB878BF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Drop" dropStyle="combo" dx="22" fmlaLink="$K$7" fmlaRange="$K$2:$K$5" noThreeD="1" sel="1" val="0"/>
</file>

<file path=xl/ctrlProps/ctrlProp2.xml><?xml version="1.0" encoding="utf-8"?>
<formControlPr xmlns="http://schemas.microsoft.com/office/spreadsheetml/2009/9/main" objectType="Drop" dropStyle="combo" dx="22" fmlaLink="$K$15" fmlaRange="$K$18:$K$21" noThreeD="1" sel="2" val="0"/>
</file>

<file path=xl/ctrlProps/ctrlProp3.xml><?xml version="1.0" encoding="utf-8"?>
<formControlPr xmlns="http://schemas.microsoft.com/office/spreadsheetml/2009/9/main" objectType="Drop" dropStyle="combo" dx="22" fmlaLink="$K$56" fmlaRange="$K$42:$K$49" noThreeD="1" sel="3" val="0"/>
</file>

<file path=xl/ctrlProps/ctrlProp4.xml><?xml version="1.0" encoding="utf-8"?>
<formControlPr xmlns="http://schemas.microsoft.com/office/spreadsheetml/2009/9/main" objectType="Drop" dropStyle="combo" dx="22" fmlaLink="$K$55" fmlaRange="$K$42:$K$49" noThreeD="1" sel="1" val="0"/>
</file>

<file path=xl/ctrlProps/ctrlProp5.xml><?xml version="1.0" encoding="utf-8"?>
<formControlPr xmlns="http://schemas.microsoft.com/office/spreadsheetml/2009/9/main" objectType="Drop" dropStyle="combo" dx="22" fmlaLink="$K$54" fmlaRange="$K$42:$K$49" noThreeD="1" sel="1" val="0"/>
</file>

<file path=xl/ctrlProps/ctrlProp6.xml><?xml version="1.0" encoding="utf-8"?>
<formControlPr xmlns="http://schemas.microsoft.com/office/spreadsheetml/2009/9/main" objectType="Drop" dropStyle="combo" dx="22" fmlaLink="$K$53" fmlaRange="$K$42:$K$49" noThreeD="1" sel="1" val="0"/>
</file>

<file path=xl/ctrlProps/ctrlProp7.xml><?xml version="1.0" encoding="utf-8"?>
<formControlPr xmlns="http://schemas.microsoft.com/office/spreadsheetml/2009/9/main" objectType="Drop" dropStyle="combo" dx="22" fmlaLink="$K$52" fmlaRange="$K$42:$K$49" noThreeD="1" sel="1" val="0"/>
</file>

<file path=xl/ctrlProps/ctrlProp8.xml><?xml version="1.0" encoding="utf-8"?>
<formControlPr xmlns="http://schemas.microsoft.com/office/spreadsheetml/2009/9/main" objectType="Drop" dropStyle="combo" dx="22" fmlaLink="$K$51" fmlaRange="$K$42:$K$49" noThreeD="1" sel="1" val="0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571500</xdr:colOff>
          <xdr:row>6</xdr:row>
          <xdr:rowOff>7620</xdr:rowOff>
        </xdr:from>
        <xdr:to>
          <xdr:col>12</xdr:col>
          <xdr:colOff>502920</xdr:colOff>
          <xdr:row>7</xdr:row>
          <xdr:rowOff>106680</xdr:rowOff>
        </xdr:to>
        <xdr:sp macro="" textlink="">
          <xdr:nvSpPr>
            <xdr:cNvPr id="15369" name="Drop Down 9" hidden="1">
              <a:extLst>
                <a:ext uri="{63B3BB69-23CF-44E3-9099-C40C66FF867C}">
                  <a14:compatExt spid="_x0000_s15369"/>
                </a:ext>
                <a:ext uri="{FF2B5EF4-FFF2-40B4-BE49-F238E27FC236}">
                  <a16:creationId xmlns:a16="http://schemas.microsoft.com/office/drawing/2014/main" id="{00000000-0008-0000-0000-000009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22860</xdr:colOff>
          <xdr:row>14</xdr:row>
          <xdr:rowOff>30480</xdr:rowOff>
        </xdr:from>
        <xdr:to>
          <xdr:col>13</xdr:col>
          <xdr:colOff>121919</xdr:colOff>
          <xdr:row>15</xdr:row>
          <xdr:rowOff>68580</xdr:rowOff>
        </xdr:to>
        <xdr:sp macro="" textlink="">
          <xdr:nvSpPr>
            <xdr:cNvPr id="15370" name="Drop Down 10" hidden="1">
              <a:extLst>
                <a:ext uri="{63B3BB69-23CF-44E3-9099-C40C66FF867C}">
                  <a14:compatExt spid="_x0000_s15370"/>
                </a:ext>
                <a:ext uri="{FF2B5EF4-FFF2-40B4-BE49-F238E27FC236}">
                  <a16:creationId xmlns:a16="http://schemas.microsoft.com/office/drawing/2014/main" id="{00000000-0008-0000-0000-00000A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22860</xdr:colOff>
          <xdr:row>55</xdr:row>
          <xdr:rowOff>121920</xdr:rowOff>
        </xdr:from>
        <xdr:to>
          <xdr:col>13</xdr:col>
          <xdr:colOff>121919</xdr:colOff>
          <xdr:row>56</xdr:row>
          <xdr:rowOff>152399</xdr:rowOff>
        </xdr:to>
        <xdr:sp macro="" textlink="">
          <xdr:nvSpPr>
            <xdr:cNvPr id="15371" name="Drop Down 11" hidden="1">
              <a:extLst>
                <a:ext uri="{63B3BB69-23CF-44E3-9099-C40C66FF867C}">
                  <a14:compatExt spid="_x0000_s15371"/>
                </a:ext>
                <a:ext uri="{FF2B5EF4-FFF2-40B4-BE49-F238E27FC236}">
                  <a16:creationId xmlns:a16="http://schemas.microsoft.com/office/drawing/2014/main" id="{00000000-0008-0000-0000-00000B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22860</xdr:colOff>
          <xdr:row>54</xdr:row>
          <xdr:rowOff>121920</xdr:rowOff>
        </xdr:from>
        <xdr:to>
          <xdr:col>13</xdr:col>
          <xdr:colOff>121919</xdr:colOff>
          <xdr:row>55</xdr:row>
          <xdr:rowOff>152400</xdr:rowOff>
        </xdr:to>
        <xdr:sp macro="" textlink="">
          <xdr:nvSpPr>
            <xdr:cNvPr id="15372" name="Drop Down 12" hidden="1">
              <a:extLst>
                <a:ext uri="{63B3BB69-23CF-44E3-9099-C40C66FF867C}">
                  <a14:compatExt spid="_x0000_s15372"/>
                </a:ext>
                <a:ext uri="{FF2B5EF4-FFF2-40B4-BE49-F238E27FC236}">
                  <a16:creationId xmlns:a16="http://schemas.microsoft.com/office/drawing/2014/main" id="{00000000-0008-0000-0000-00000C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22860</xdr:colOff>
          <xdr:row>53</xdr:row>
          <xdr:rowOff>121920</xdr:rowOff>
        </xdr:from>
        <xdr:to>
          <xdr:col>13</xdr:col>
          <xdr:colOff>121919</xdr:colOff>
          <xdr:row>54</xdr:row>
          <xdr:rowOff>152401</xdr:rowOff>
        </xdr:to>
        <xdr:sp macro="" textlink="">
          <xdr:nvSpPr>
            <xdr:cNvPr id="15373" name="Drop Down 13" hidden="1">
              <a:extLst>
                <a:ext uri="{63B3BB69-23CF-44E3-9099-C40C66FF867C}">
                  <a14:compatExt spid="_x0000_s15373"/>
                </a:ext>
                <a:ext uri="{FF2B5EF4-FFF2-40B4-BE49-F238E27FC236}">
                  <a16:creationId xmlns:a16="http://schemas.microsoft.com/office/drawing/2014/main" id="{00000000-0008-0000-0000-00000D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22860</xdr:colOff>
          <xdr:row>52</xdr:row>
          <xdr:rowOff>121920</xdr:rowOff>
        </xdr:from>
        <xdr:to>
          <xdr:col>13</xdr:col>
          <xdr:colOff>121919</xdr:colOff>
          <xdr:row>53</xdr:row>
          <xdr:rowOff>152400</xdr:rowOff>
        </xdr:to>
        <xdr:sp macro="" textlink="">
          <xdr:nvSpPr>
            <xdr:cNvPr id="15374" name="Drop Down 14" hidden="1">
              <a:extLst>
                <a:ext uri="{63B3BB69-23CF-44E3-9099-C40C66FF867C}">
                  <a14:compatExt spid="_x0000_s15374"/>
                </a:ext>
                <a:ext uri="{FF2B5EF4-FFF2-40B4-BE49-F238E27FC236}">
                  <a16:creationId xmlns:a16="http://schemas.microsoft.com/office/drawing/2014/main" id="{00000000-0008-0000-0000-00000E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22860</xdr:colOff>
          <xdr:row>51</xdr:row>
          <xdr:rowOff>121920</xdr:rowOff>
        </xdr:from>
        <xdr:to>
          <xdr:col>13</xdr:col>
          <xdr:colOff>121919</xdr:colOff>
          <xdr:row>52</xdr:row>
          <xdr:rowOff>152400</xdr:rowOff>
        </xdr:to>
        <xdr:sp macro="" textlink="">
          <xdr:nvSpPr>
            <xdr:cNvPr id="15375" name="Drop Down 15" hidden="1">
              <a:extLst>
                <a:ext uri="{63B3BB69-23CF-44E3-9099-C40C66FF867C}">
                  <a14:compatExt spid="_x0000_s15375"/>
                </a:ext>
                <a:ext uri="{FF2B5EF4-FFF2-40B4-BE49-F238E27FC236}">
                  <a16:creationId xmlns:a16="http://schemas.microsoft.com/office/drawing/2014/main" id="{00000000-0008-0000-0000-00000F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22860</xdr:colOff>
          <xdr:row>50</xdr:row>
          <xdr:rowOff>121920</xdr:rowOff>
        </xdr:from>
        <xdr:to>
          <xdr:col>13</xdr:col>
          <xdr:colOff>121919</xdr:colOff>
          <xdr:row>51</xdr:row>
          <xdr:rowOff>152400</xdr:rowOff>
        </xdr:to>
        <xdr:sp macro="" textlink="">
          <xdr:nvSpPr>
            <xdr:cNvPr id="15376" name="Drop Down 16" hidden="1">
              <a:extLst>
                <a:ext uri="{63B3BB69-23CF-44E3-9099-C40C66FF867C}">
                  <a14:compatExt spid="_x0000_s15376"/>
                </a:ext>
                <a:ext uri="{FF2B5EF4-FFF2-40B4-BE49-F238E27FC236}">
                  <a16:creationId xmlns:a16="http://schemas.microsoft.com/office/drawing/2014/main" id="{00000000-0008-0000-0000-000010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0</xdr:row>
      <xdr:rowOff>0</xdr:rowOff>
    </xdr:from>
    <xdr:to>
      <xdr:col>4</xdr:col>
      <xdr:colOff>382117</xdr:colOff>
      <xdr:row>2</xdr:row>
      <xdr:rowOff>636</xdr:rowOff>
    </xdr:to>
    <xdr:pic>
      <xdr:nvPicPr>
        <xdr:cNvPr id="3" name="Obrázek 1">
          <a:extLst>
            <a:ext uri="{FF2B5EF4-FFF2-40B4-BE49-F238E27FC236}">
              <a16:creationId xmlns:a16="http://schemas.microsoft.com/office/drawing/2014/main" id="{F76B6266-6BE0-4EBE-9C5E-0B25D04D62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218"/>
        <a:stretch>
          <a:fillRect/>
        </a:stretch>
      </xdr:blipFill>
      <xdr:spPr bwMode="auto">
        <a:xfrm>
          <a:off x="0" y="0"/>
          <a:ext cx="1752252" cy="5135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Motiv systému Office">
  <a:themeElements>
    <a:clrScheme name="Kancelář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Kancelář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celář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5" Type="http://schemas.openxmlformats.org/officeDocument/2006/relationships/ctrlProp" Target="../ctrlProps/ctrlProp2.xml"/><Relationship Id="rId10" Type="http://schemas.openxmlformats.org/officeDocument/2006/relationships/ctrlProp" Target="../ctrlProps/ctrlProp7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8774A1-4357-41FB-8DDE-67CBA25A812B}">
  <sheetPr codeName="List1"/>
  <dimension ref="A1:L60"/>
  <sheetViews>
    <sheetView tabSelected="1" view="pageBreakPreview" zoomScale="85" zoomScaleNormal="100" zoomScaleSheetLayoutView="85" workbookViewId="0">
      <selection activeCell="N20" sqref="N20"/>
    </sheetView>
  </sheetViews>
  <sheetFormatPr defaultRowHeight="13.8"/>
  <cols>
    <col min="1" max="1" width="5.44140625" style="45" customWidth="1"/>
    <col min="2" max="2" width="9.5546875" style="45" customWidth="1"/>
    <col min="3" max="3" width="20.5546875" style="45" hidden="1" customWidth="1"/>
    <col min="4" max="4" width="5.5546875" style="45" customWidth="1"/>
    <col min="5" max="8" width="17.21875" style="45" customWidth="1"/>
    <col min="9" max="9" width="2.33203125" style="45" customWidth="1"/>
    <col min="10" max="256" width="9.109375" style="45"/>
    <col min="257" max="257" width="5.44140625" style="45" customWidth="1"/>
    <col min="258" max="258" width="9.5546875" style="45" customWidth="1"/>
    <col min="259" max="259" width="0" style="45" hidden="1" customWidth="1"/>
    <col min="260" max="260" width="5.5546875" style="45" customWidth="1"/>
    <col min="261" max="263" width="14.6640625" style="45" customWidth="1"/>
    <col min="264" max="264" width="30.6640625" style="45" customWidth="1"/>
    <col min="265" max="265" width="2.33203125" style="45" customWidth="1"/>
    <col min="266" max="512" width="9.109375" style="45"/>
    <col min="513" max="513" width="5.44140625" style="45" customWidth="1"/>
    <col min="514" max="514" width="9.5546875" style="45" customWidth="1"/>
    <col min="515" max="515" width="0" style="45" hidden="1" customWidth="1"/>
    <col min="516" max="516" width="5.5546875" style="45" customWidth="1"/>
    <col min="517" max="519" width="14.6640625" style="45" customWidth="1"/>
    <col min="520" max="520" width="30.6640625" style="45" customWidth="1"/>
    <col min="521" max="521" width="2.33203125" style="45" customWidth="1"/>
    <col min="522" max="768" width="9.109375" style="45"/>
    <col min="769" max="769" width="5.44140625" style="45" customWidth="1"/>
    <col min="770" max="770" width="9.5546875" style="45" customWidth="1"/>
    <col min="771" max="771" width="0" style="45" hidden="1" customWidth="1"/>
    <col min="772" max="772" width="5.5546875" style="45" customWidth="1"/>
    <col min="773" max="775" width="14.6640625" style="45" customWidth="1"/>
    <col min="776" max="776" width="30.6640625" style="45" customWidth="1"/>
    <col min="777" max="777" width="2.33203125" style="45" customWidth="1"/>
    <col min="778" max="1024" width="9.109375" style="45"/>
    <col min="1025" max="1025" width="5.44140625" style="45" customWidth="1"/>
    <col min="1026" max="1026" width="9.5546875" style="45" customWidth="1"/>
    <col min="1027" max="1027" width="0" style="45" hidden="1" customWidth="1"/>
    <col min="1028" max="1028" width="5.5546875" style="45" customWidth="1"/>
    <col min="1029" max="1031" width="14.6640625" style="45" customWidth="1"/>
    <col min="1032" max="1032" width="30.6640625" style="45" customWidth="1"/>
    <col min="1033" max="1033" width="2.33203125" style="45" customWidth="1"/>
    <col min="1034" max="1280" width="9.109375" style="45"/>
    <col min="1281" max="1281" width="5.44140625" style="45" customWidth="1"/>
    <col min="1282" max="1282" width="9.5546875" style="45" customWidth="1"/>
    <col min="1283" max="1283" width="0" style="45" hidden="1" customWidth="1"/>
    <col min="1284" max="1284" width="5.5546875" style="45" customWidth="1"/>
    <col min="1285" max="1287" width="14.6640625" style="45" customWidth="1"/>
    <col min="1288" max="1288" width="30.6640625" style="45" customWidth="1"/>
    <col min="1289" max="1289" width="2.33203125" style="45" customWidth="1"/>
    <col min="1290" max="1536" width="9.109375" style="45"/>
    <col min="1537" max="1537" width="5.44140625" style="45" customWidth="1"/>
    <col min="1538" max="1538" width="9.5546875" style="45" customWidth="1"/>
    <col min="1539" max="1539" width="0" style="45" hidden="1" customWidth="1"/>
    <col min="1540" max="1540" width="5.5546875" style="45" customWidth="1"/>
    <col min="1541" max="1543" width="14.6640625" style="45" customWidth="1"/>
    <col min="1544" max="1544" width="30.6640625" style="45" customWidth="1"/>
    <col min="1545" max="1545" width="2.33203125" style="45" customWidth="1"/>
    <col min="1546" max="1792" width="9.109375" style="45"/>
    <col min="1793" max="1793" width="5.44140625" style="45" customWidth="1"/>
    <col min="1794" max="1794" width="9.5546875" style="45" customWidth="1"/>
    <col min="1795" max="1795" width="0" style="45" hidden="1" customWidth="1"/>
    <col min="1796" max="1796" width="5.5546875" style="45" customWidth="1"/>
    <col min="1797" max="1799" width="14.6640625" style="45" customWidth="1"/>
    <col min="1800" max="1800" width="30.6640625" style="45" customWidth="1"/>
    <col min="1801" max="1801" width="2.33203125" style="45" customWidth="1"/>
    <col min="1802" max="2048" width="9.109375" style="45"/>
    <col min="2049" max="2049" width="5.44140625" style="45" customWidth="1"/>
    <col min="2050" max="2050" width="9.5546875" style="45" customWidth="1"/>
    <col min="2051" max="2051" width="0" style="45" hidden="1" customWidth="1"/>
    <col min="2052" max="2052" width="5.5546875" style="45" customWidth="1"/>
    <col min="2053" max="2055" width="14.6640625" style="45" customWidth="1"/>
    <col min="2056" max="2056" width="30.6640625" style="45" customWidth="1"/>
    <col min="2057" max="2057" width="2.33203125" style="45" customWidth="1"/>
    <col min="2058" max="2304" width="9.109375" style="45"/>
    <col min="2305" max="2305" width="5.44140625" style="45" customWidth="1"/>
    <col min="2306" max="2306" width="9.5546875" style="45" customWidth="1"/>
    <col min="2307" max="2307" width="0" style="45" hidden="1" customWidth="1"/>
    <col min="2308" max="2308" width="5.5546875" style="45" customWidth="1"/>
    <col min="2309" max="2311" width="14.6640625" style="45" customWidth="1"/>
    <col min="2312" max="2312" width="30.6640625" style="45" customWidth="1"/>
    <col min="2313" max="2313" width="2.33203125" style="45" customWidth="1"/>
    <col min="2314" max="2560" width="9.109375" style="45"/>
    <col min="2561" max="2561" width="5.44140625" style="45" customWidth="1"/>
    <col min="2562" max="2562" width="9.5546875" style="45" customWidth="1"/>
    <col min="2563" max="2563" width="0" style="45" hidden="1" customWidth="1"/>
    <col min="2564" max="2564" width="5.5546875" style="45" customWidth="1"/>
    <col min="2565" max="2567" width="14.6640625" style="45" customWidth="1"/>
    <col min="2568" max="2568" width="30.6640625" style="45" customWidth="1"/>
    <col min="2569" max="2569" width="2.33203125" style="45" customWidth="1"/>
    <col min="2570" max="2816" width="9.109375" style="45"/>
    <col min="2817" max="2817" width="5.44140625" style="45" customWidth="1"/>
    <col min="2818" max="2818" width="9.5546875" style="45" customWidth="1"/>
    <col min="2819" max="2819" width="0" style="45" hidden="1" customWidth="1"/>
    <col min="2820" max="2820" width="5.5546875" style="45" customWidth="1"/>
    <col min="2821" max="2823" width="14.6640625" style="45" customWidth="1"/>
    <col min="2824" max="2824" width="30.6640625" style="45" customWidth="1"/>
    <col min="2825" max="2825" width="2.33203125" style="45" customWidth="1"/>
    <col min="2826" max="3072" width="9.109375" style="45"/>
    <col min="3073" max="3073" width="5.44140625" style="45" customWidth="1"/>
    <col min="3074" max="3074" width="9.5546875" style="45" customWidth="1"/>
    <col min="3075" max="3075" width="0" style="45" hidden="1" customWidth="1"/>
    <col min="3076" max="3076" width="5.5546875" style="45" customWidth="1"/>
    <col min="3077" max="3079" width="14.6640625" style="45" customWidth="1"/>
    <col min="3080" max="3080" width="30.6640625" style="45" customWidth="1"/>
    <col min="3081" max="3081" width="2.33203125" style="45" customWidth="1"/>
    <col min="3082" max="3328" width="9.109375" style="45"/>
    <col min="3329" max="3329" width="5.44140625" style="45" customWidth="1"/>
    <col min="3330" max="3330" width="9.5546875" style="45" customWidth="1"/>
    <col min="3331" max="3331" width="0" style="45" hidden="1" customWidth="1"/>
    <col min="3332" max="3332" width="5.5546875" style="45" customWidth="1"/>
    <col min="3333" max="3335" width="14.6640625" style="45" customWidth="1"/>
    <col min="3336" max="3336" width="30.6640625" style="45" customWidth="1"/>
    <col min="3337" max="3337" width="2.33203125" style="45" customWidth="1"/>
    <col min="3338" max="3584" width="9.109375" style="45"/>
    <col min="3585" max="3585" width="5.44140625" style="45" customWidth="1"/>
    <col min="3586" max="3586" width="9.5546875" style="45" customWidth="1"/>
    <col min="3587" max="3587" width="0" style="45" hidden="1" customWidth="1"/>
    <col min="3588" max="3588" width="5.5546875" style="45" customWidth="1"/>
    <col min="3589" max="3591" width="14.6640625" style="45" customWidth="1"/>
    <col min="3592" max="3592" width="30.6640625" style="45" customWidth="1"/>
    <col min="3593" max="3593" width="2.33203125" style="45" customWidth="1"/>
    <col min="3594" max="3840" width="9.109375" style="45"/>
    <col min="3841" max="3841" width="5.44140625" style="45" customWidth="1"/>
    <col min="3842" max="3842" width="9.5546875" style="45" customWidth="1"/>
    <col min="3843" max="3843" width="0" style="45" hidden="1" customWidth="1"/>
    <col min="3844" max="3844" width="5.5546875" style="45" customWidth="1"/>
    <col min="3845" max="3847" width="14.6640625" style="45" customWidth="1"/>
    <col min="3848" max="3848" width="30.6640625" style="45" customWidth="1"/>
    <col min="3849" max="3849" width="2.33203125" style="45" customWidth="1"/>
    <col min="3850" max="4096" width="9.109375" style="45"/>
    <col min="4097" max="4097" width="5.44140625" style="45" customWidth="1"/>
    <col min="4098" max="4098" width="9.5546875" style="45" customWidth="1"/>
    <col min="4099" max="4099" width="0" style="45" hidden="1" customWidth="1"/>
    <col min="4100" max="4100" width="5.5546875" style="45" customWidth="1"/>
    <col min="4101" max="4103" width="14.6640625" style="45" customWidth="1"/>
    <col min="4104" max="4104" width="30.6640625" style="45" customWidth="1"/>
    <col min="4105" max="4105" width="2.33203125" style="45" customWidth="1"/>
    <col min="4106" max="4352" width="9.109375" style="45"/>
    <col min="4353" max="4353" width="5.44140625" style="45" customWidth="1"/>
    <col min="4354" max="4354" width="9.5546875" style="45" customWidth="1"/>
    <col min="4355" max="4355" width="0" style="45" hidden="1" customWidth="1"/>
    <col min="4356" max="4356" width="5.5546875" style="45" customWidth="1"/>
    <col min="4357" max="4359" width="14.6640625" style="45" customWidth="1"/>
    <col min="4360" max="4360" width="30.6640625" style="45" customWidth="1"/>
    <col min="4361" max="4361" width="2.33203125" style="45" customWidth="1"/>
    <col min="4362" max="4608" width="9.109375" style="45"/>
    <col min="4609" max="4609" width="5.44140625" style="45" customWidth="1"/>
    <col min="4610" max="4610" width="9.5546875" style="45" customWidth="1"/>
    <col min="4611" max="4611" width="0" style="45" hidden="1" customWidth="1"/>
    <col min="4612" max="4612" width="5.5546875" style="45" customWidth="1"/>
    <col min="4613" max="4615" width="14.6640625" style="45" customWidth="1"/>
    <col min="4616" max="4616" width="30.6640625" style="45" customWidth="1"/>
    <col min="4617" max="4617" width="2.33203125" style="45" customWidth="1"/>
    <col min="4618" max="4864" width="9.109375" style="45"/>
    <col min="4865" max="4865" width="5.44140625" style="45" customWidth="1"/>
    <col min="4866" max="4866" width="9.5546875" style="45" customWidth="1"/>
    <col min="4867" max="4867" width="0" style="45" hidden="1" customWidth="1"/>
    <col min="4868" max="4868" width="5.5546875" style="45" customWidth="1"/>
    <col min="4869" max="4871" width="14.6640625" style="45" customWidth="1"/>
    <col min="4872" max="4872" width="30.6640625" style="45" customWidth="1"/>
    <col min="4873" max="4873" width="2.33203125" style="45" customWidth="1"/>
    <col min="4874" max="5120" width="9.109375" style="45"/>
    <col min="5121" max="5121" width="5.44140625" style="45" customWidth="1"/>
    <col min="5122" max="5122" width="9.5546875" style="45" customWidth="1"/>
    <col min="5123" max="5123" width="0" style="45" hidden="1" customWidth="1"/>
    <col min="5124" max="5124" width="5.5546875" style="45" customWidth="1"/>
    <col min="5125" max="5127" width="14.6640625" style="45" customWidth="1"/>
    <col min="5128" max="5128" width="30.6640625" style="45" customWidth="1"/>
    <col min="5129" max="5129" width="2.33203125" style="45" customWidth="1"/>
    <col min="5130" max="5376" width="9.109375" style="45"/>
    <col min="5377" max="5377" width="5.44140625" style="45" customWidth="1"/>
    <col min="5378" max="5378" width="9.5546875" style="45" customWidth="1"/>
    <col min="5379" max="5379" width="0" style="45" hidden="1" customWidth="1"/>
    <col min="5380" max="5380" width="5.5546875" style="45" customWidth="1"/>
    <col min="5381" max="5383" width="14.6640625" style="45" customWidth="1"/>
    <col min="5384" max="5384" width="30.6640625" style="45" customWidth="1"/>
    <col min="5385" max="5385" width="2.33203125" style="45" customWidth="1"/>
    <col min="5386" max="5632" width="9.109375" style="45"/>
    <col min="5633" max="5633" width="5.44140625" style="45" customWidth="1"/>
    <col min="5634" max="5634" width="9.5546875" style="45" customWidth="1"/>
    <col min="5635" max="5635" width="0" style="45" hidden="1" customWidth="1"/>
    <col min="5636" max="5636" width="5.5546875" style="45" customWidth="1"/>
    <col min="5637" max="5639" width="14.6640625" style="45" customWidth="1"/>
    <col min="5640" max="5640" width="30.6640625" style="45" customWidth="1"/>
    <col min="5641" max="5641" width="2.33203125" style="45" customWidth="1"/>
    <col min="5642" max="5888" width="9.109375" style="45"/>
    <col min="5889" max="5889" width="5.44140625" style="45" customWidth="1"/>
    <col min="5890" max="5890" width="9.5546875" style="45" customWidth="1"/>
    <col min="5891" max="5891" width="0" style="45" hidden="1" customWidth="1"/>
    <col min="5892" max="5892" width="5.5546875" style="45" customWidth="1"/>
    <col min="5893" max="5895" width="14.6640625" style="45" customWidth="1"/>
    <col min="5896" max="5896" width="30.6640625" style="45" customWidth="1"/>
    <col min="5897" max="5897" width="2.33203125" style="45" customWidth="1"/>
    <col min="5898" max="6144" width="9.109375" style="45"/>
    <col min="6145" max="6145" width="5.44140625" style="45" customWidth="1"/>
    <col min="6146" max="6146" width="9.5546875" style="45" customWidth="1"/>
    <col min="6147" max="6147" width="0" style="45" hidden="1" customWidth="1"/>
    <col min="6148" max="6148" width="5.5546875" style="45" customWidth="1"/>
    <col min="6149" max="6151" width="14.6640625" style="45" customWidth="1"/>
    <col min="6152" max="6152" width="30.6640625" style="45" customWidth="1"/>
    <col min="6153" max="6153" width="2.33203125" style="45" customWidth="1"/>
    <col min="6154" max="6400" width="9.109375" style="45"/>
    <col min="6401" max="6401" width="5.44140625" style="45" customWidth="1"/>
    <col min="6402" max="6402" width="9.5546875" style="45" customWidth="1"/>
    <col min="6403" max="6403" width="0" style="45" hidden="1" customWidth="1"/>
    <col min="6404" max="6404" width="5.5546875" style="45" customWidth="1"/>
    <col min="6405" max="6407" width="14.6640625" style="45" customWidth="1"/>
    <col min="6408" max="6408" width="30.6640625" style="45" customWidth="1"/>
    <col min="6409" max="6409" width="2.33203125" style="45" customWidth="1"/>
    <col min="6410" max="6656" width="9.109375" style="45"/>
    <col min="6657" max="6657" width="5.44140625" style="45" customWidth="1"/>
    <col min="6658" max="6658" width="9.5546875" style="45" customWidth="1"/>
    <col min="6659" max="6659" width="0" style="45" hidden="1" customWidth="1"/>
    <col min="6660" max="6660" width="5.5546875" style="45" customWidth="1"/>
    <col min="6661" max="6663" width="14.6640625" style="45" customWidth="1"/>
    <col min="6664" max="6664" width="30.6640625" style="45" customWidth="1"/>
    <col min="6665" max="6665" width="2.33203125" style="45" customWidth="1"/>
    <col min="6666" max="6912" width="9.109375" style="45"/>
    <col min="6913" max="6913" width="5.44140625" style="45" customWidth="1"/>
    <col min="6914" max="6914" width="9.5546875" style="45" customWidth="1"/>
    <col min="6915" max="6915" width="0" style="45" hidden="1" customWidth="1"/>
    <col min="6916" max="6916" width="5.5546875" style="45" customWidth="1"/>
    <col min="6917" max="6919" width="14.6640625" style="45" customWidth="1"/>
    <col min="6920" max="6920" width="30.6640625" style="45" customWidth="1"/>
    <col min="6921" max="6921" width="2.33203125" style="45" customWidth="1"/>
    <col min="6922" max="7168" width="9.109375" style="45"/>
    <col min="7169" max="7169" width="5.44140625" style="45" customWidth="1"/>
    <col min="7170" max="7170" width="9.5546875" style="45" customWidth="1"/>
    <col min="7171" max="7171" width="0" style="45" hidden="1" customWidth="1"/>
    <col min="7172" max="7172" width="5.5546875" style="45" customWidth="1"/>
    <col min="7173" max="7175" width="14.6640625" style="45" customWidth="1"/>
    <col min="7176" max="7176" width="30.6640625" style="45" customWidth="1"/>
    <col min="7177" max="7177" width="2.33203125" style="45" customWidth="1"/>
    <col min="7178" max="7424" width="9.109375" style="45"/>
    <col min="7425" max="7425" width="5.44140625" style="45" customWidth="1"/>
    <col min="7426" max="7426" width="9.5546875" style="45" customWidth="1"/>
    <col min="7427" max="7427" width="0" style="45" hidden="1" customWidth="1"/>
    <col min="7428" max="7428" width="5.5546875" style="45" customWidth="1"/>
    <col min="7429" max="7431" width="14.6640625" style="45" customWidth="1"/>
    <col min="7432" max="7432" width="30.6640625" style="45" customWidth="1"/>
    <col min="7433" max="7433" width="2.33203125" style="45" customWidth="1"/>
    <col min="7434" max="7680" width="9.109375" style="45"/>
    <col min="7681" max="7681" width="5.44140625" style="45" customWidth="1"/>
    <col min="7682" max="7682" width="9.5546875" style="45" customWidth="1"/>
    <col min="7683" max="7683" width="0" style="45" hidden="1" customWidth="1"/>
    <col min="7684" max="7684" width="5.5546875" style="45" customWidth="1"/>
    <col min="7685" max="7687" width="14.6640625" style="45" customWidth="1"/>
    <col min="7688" max="7688" width="30.6640625" style="45" customWidth="1"/>
    <col min="7689" max="7689" width="2.33203125" style="45" customWidth="1"/>
    <col min="7690" max="7936" width="9.109375" style="45"/>
    <col min="7937" max="7937" width="5.44140625" style="45" customWidth="1"/>
    <col min="7938" max="7938" width="9.5546875" style="45" customWidth="1"/>
    <col min="7939" max="7939" width="0" style="45" hidden="1" customWidth="1"/>
    <col min="7940" max="7940" width="5.5546875" style="45" customWidth="1"/>
    <col min="7941" max="7943" width="14.6640625" style="45" customWidth="1"/>
    <col min="7944" max="7944" width="30.6640625" style="45" customWidth="1"/>
    <col min="7945" max="7945" width="2.33203125" style="45" customWidth="1"/>
    <col min="7946" max="8192" width="9.109375" style="45"/>
    <col min="8193" max="8193" width="5.44140625" style="45" customWidth="1"/>
    <col min="8194" max="8194" width="9.5546875" style="45" customWidth="1"/>
    <col min="8195" max="8195" width="0" style="45" hidden="1" customWidth="1"/>
    <col min="8196" max="8196" width="5.5546875" style="45" customWidth="1"/>
    <col min="8197" max="8199" width="14.6640625" style="45" customWidth="1"/>
    <col min="8200" max="8200" width="30.6640625" style="45" customWidth="1"/>
    <col min="8201" max="8201" width="2.33203125" style="45" customWidth="1"/>
    <col min="8202" max="8448" width="9.109375" style="45"/>
    <col min="8449" max="8449" width="5.44140625" style="45" customWidth="1"/>
    <col min="8450" max="8450" width="9.5546875" style="45" customWidth="1"/>
    <col min="8451" max="8451" width="0" style="45" hidden="1" customWidth="1"/>
    <col min="8452" max="8452" width="5.5546875" style="45" customWidth="1"/>
    <col min="8453" max="8455" width="14.6640625" style="45" customWidth="1"/>
    <col min="8456" max="8456" width="30.6640625" style="45" customWidth="1"/>
    <col min="8457" max="8457" width="2.33203125" style="45" customWidth="1"/>
    <col min="8458" max="8704" width="9.109375" style="45"/>
    <col min="8705" max="8705" width="5.44140625" style="45" customWidth="1"/>
    <col min="8706" max="8706" width="9.5546875" style="45" customWidth="1"/>
    <col min="8707" max="8707" width="0" style="45" hidden="1" customWidth="1"/>
    <col min="8708" max="8708" width="5.5546875" style="45" customWidth="1"/>
    <col min="8709" max="8711" width="14.6640625" style="45" customWidth="1"/>
    <col min="8712" max="8712" width="30.6640625" style="45" customWidth="1"/>
    <col min="8713" max="8713" width="2.33203125" style="45" customWidth="1"/>
    <col min="8714" max="8960" width="9.109375" style="45"/>
    <col min="8961" max="8961" width="5.44140625" style="45" customWidth="1"/>
    <col min="8962" max="8962" width="9.5546875" style="45" customWidth="1"/>
    <col min="8963" max="8963" width="0" style="45" hidden="1" customWidth="1"/>
    <col min="8964" max="8964" width="5.5546875" style="45" customWidth="1"/>
    <col min="8965" max="8967" width="14.6640625" style="45" customWidth="1"/>
    <col min="8968" max="8968" width="30.6640625" style="45" customWidth="1"/>
    <col min="8969" max="8969" width="2.33203125" style="45" customWidth="1"/>
    <col min="8970" max="9216" width="9.109375" style="45"/>
    <col min="9217" max="9217" width="5.44140625" style="45" customWidth="1"/>
    <col min="9218" max="9218" width="9.5546875" style="45" customWidth="1"/>
    <col min="9219" max="9219" width="0" style="45" hidden="1" customWidth="1"/>
    <col min="9220" max="9220" width="5.5546875" style="45" customWidth="1"/>
    <col min="9221" max="9223" width="14.6640625" style="45" customWidth="1"/>
    <col min="9224" max="9224" width="30.6640625" style="45" customWidth="1"/>
    <col min="9225" max="9225" width="2.33203125" style="45" customWidth="1"/>
    <col min="9226" max="9472" width="9.109375" style="45"/>
    <col min="9473" max="9473" width="5.44140625" style="45" customWidth="1"/>
    <col min="9474" max="9474" width="9.5546875" style="45" customWidth="1"/>
    <col min="9475" max="9475" width="0" style="45" hidden="1" customWidth="1"/>
    <col min="9476" max="9476" width="5.5546875" style="45" customWidth="1"/>
    <col min="9477" max="9479" width="14.6640625" style="45" customWidth="1"/>
    <col min="9480" max="9480" width="30.6640625" style="45" customWidth="1"/>
    <col min="9481" max="9481" width="2.33203125" style="45" customWidth="1"/>
    <col min="9482" max="9728" width="9.109375" style="45"/>
    <col min="9729" max="9729" width="5.44140625" style="45" customWidth="1"/>
    <col min="9730" max="9730" width="9.5546875" style="45" customWidth="1"/>
    <col min="9731" max="9731" width="0" style="45" hidden="1" customWidth="1"/>
    <col min="9732" max="9732" width="5.5546875" style="45" customWidth="1"/>
    <col min="9733" max="9735" width="14.6640625" style="45" customWidth="1"/>
    <col min="9736" max="9736" width="30.6640625" style="45" customWidth="1"/>
    <col min="9737" max="9737" width="2.33203125" style="45" customWidth="1"/>
    <col min="9738" max="9984" width="9.109375" style="45"/>
    <col min="9985" max="9985" width="5.44140625" style="45" customWidth="1"/>
    <col min="9986" max="9986" width="9.5546875" style="45" customWidth="1"/>
    <col min="9987" max="9987" width="0" style="45" hidden="1" customWidth="1"/>
    <col min="9988" max="9988" width="5.5546875" style="45" customWidth="1"/>
    <col min="9989" max="9991" width="14.6640625" style="45" customWidth="1"/>
    <col min="9992" max="9992" width="30.6640625" style="45" customWidth="1"/>
    <col min="9993" max="9993" width="2.33203125" style="45" customWidth="1"/>
    <col min="9994" max="10240" width="9.109375" style="45"/>
    <col min="10241" max="10241" width="5.44140625" style="45" customWidth="1"/>
    <col min="10242" max="10242" width="9.5546875" style="45" customWidth="1"/>
    <col min="10243" max="10243" width="0" style="45" hidden="1" customWidth="1"/>
    <col min="10244" max="10244" width="5.5546875" style="45" customWidth="1"/>
    <col min="10245" max="10247" width="14.6640625" style="45" customWidth="1"/>
    <col min="10248" max="10248" width="30.6640625" style="45" customWidth="1"/>
    <col min="10249" max="10249" width="2.33203125" style="45" customWidth="1"/>
    <col min="10250" max="10496" width="9.109375" style="45"/>
    <col min="10497" max="10497" width="5.44140625" style="45" customWidth="1"/>
    <col min="10498" max="10498" width="9.5546875" style="45" customWidth="1"/>
    <col min="10499" max="10499" width="0" style="45" hidden="1" customWidth="1"/>
    <col min="10500" max="10500" width="5.5546875" style="45" customWidth="1"/>
    <col min="10501" max="10503" width="14.6640625" style="45" customWidth="1"/>
    <col min="10504" max="10504" width="30.6640625" style="45" customWidth="1"/>
    <col min="10505" max="10505" width="2.33203125" style="45" customWidth="1"/>
    <col min="10506" max="10752" width="9.109375" style="45"/>
    <col min="10753" max="10753" width="5.44140625" style="45" customWidth="1"/>
    <col min="10754" max="10754" width="9.5546875" style="45" customWidth="1"/>
    <col min="10755" max="10755" width="0" style="45" hidden="1" customWidth="1"/>
    <col min="10756" max="10756" width="5.5546875" style="45" customWidth="1"/>
    <col min="10757" max="10759" width="14.6640625" style="45" customWidth="1"/>
    <col min="10760" max="10760" width="30.6640625" style="45" customWidth="1"/>
    <col min="10761" max="10761" width="2.33203125" style="45" customWidth="1"/>
    <col min="10762" max="11008" width="9.109375" style="45"/>
    <col min="11009" max="11009" width="5.44140625" style="45" customWidth="1"/>
    <col min="11010" max="11010" width="9.5546875" style="45" customWidth="1"/>
    <col min="11011" max="11011" width="0" style="45" hidden="1" customWidth="1"/>
    <col min="11012" max="11012" width="5.5546875" style="45" customWidth="1"/>
    <col min="11013" max="11015" width="14.6640625" style="45" customWidth="1"/>
    <col min="11016" max="11016" width="30.6640625" style="45" customWidth="1"/>
    <col min="11017" max="11017" width="2.33203125" style="45" customWidth="1"/>
    <col min="11018" max="11264" width="9.109375" style="45"/>
    <col min="11265" max="11265" width="5.44140625" style="45" customWidth="1"/>
    <col min="11266" max="11266" width="9.5546875" style="45" customWidth="1"/>
    <col min="11267" max="11267" width="0" style="45" hidden="1" customWidth="1"/>
    <col min="11268" max="11268" width="5.5546875" style="45" customWidth="1"/>
    <col min="11269" max="11271" width="14.6640625" style="45" customWidth="1"/>
    <col min="11272" max="11272" width="30.6640625" style="45" customWidth="1"/>
    <col min="11273" max="11273" width="2.33203125" style="45" customWidth="1"/>
    <col min="11274" max="11520" width="9.109375" style="45"/>
    <col min="11521" max="11521" width="5.44140625" style="45" customWidth="1"/>
    <col min="11522" max="11522" width="9.5546875" style="45" customWidth="1"/>
    <col min="11523" max="11523" width="0" style="45" hidden="1" customWidth="1"/>
    <col min="11524" max="11524" width="5.5546875" style="45" customWidth="1"/>
    <col min="11525" max="11527" width="14.6640625" style="45" customWidth="1"/>
    <col min="11528" max="11528" width="30.6640625" style="45" customWidth="1"/>
    <col min="11529" max="11529" width="2.33203125" style="45" customWidth="1"/>
    <col min="11530" max="11776" width="9.109375" style="45"/>
    <col min="11777" max="11777" width="5.44140625" style="45" customWidth="1"/>
    <col min="11778" max="11778" width="9.5546875" style="45" customWidth="1"/>
    <col min="11779" max="11779" width="0" style="45" hidden="1" customWidth="1"/>
    <col min="11780" max="11780" width="5.5546875" style="45" customWidth="1"/>
    <col min="11781" max="11783" width="14.6640625" style="45" customWidth="1"/>
    <col min="11784" max="11784" width="30.6640625" style="45" customWidth="1"/>
    <col min="11785" max="11785" width="2.33203125" style="45" customWidth="1"/>
    <col min="11786" max="12032" width="9.109375" style="45"/>
    <col min="12033" max="12033" width="5.44140625" style="45" customWidth="1"/>
    <col min="12034" max="12034" width="9.5546875" style="45" customWidth="1"/>
    <col min="12035" max="12035" width="0" style="45" hidden="1" customWidth="1"/>
    <col min="12036" max="12036" width="5.5546875" style="45" customWidth="1"/>
    <col min="12037" max="12039" width="14.6640625" style="45" customWidth="1"/>
    <col min="12040" max="12040" width="30.6640625" style="45" customWidth="1"/>
    <col min="12041" max="12041" width="2.33203125" style="45" customWidth="1"/>
    <col min="12042" max="12288" width="9.109375" style="45"/>
    <col min="12289" max="12289" width="5.44140625" style="45" customWidth="1"/>
    <col min="12290" max="12290" width="9.5546875" style="45" customWidth="1"/>
    <col min="12291" max="12291" width="0" style="45" hidden="1" customWidth="1"/>
    <col min="12292" max="12292" width="5.5546875" style="45" customWidth="1"/>
    <col min="12293" max="12295" width="14.6640625" style="45" customWidth="1"/>
    <col min="12296" max="12296" width="30.6640625" style="45" customWidth="1"/>
    <col min="12297" max="12297" width="2.33203125" style="45" customWidth="1"/>
    <col min="12298" max="12544" width="9.109375" style="45"/>
    <col min="12545" max="12545" width="5.44140625" style="45" customWidth="1"/>
    <col min="12546" max="12546" width="9.5546875" style="45" customWidth="1"/>
    <col min="12547" max="12547" width="0" style="45" hidden="1" customWidth="1"/>
    <col min="12548" max="12548" width="5.5546875" style="45" customWidth="1"/>
    <col min="12549" max="12551" width="14.6640625" style="45" customWidth="1"/>
    <col min="12552" max="12552" width="30.6640625" style="45" customWidth="1"/>
    <col min="12553" max="12553" width="2.33203125" style="45" customWidth="1"/>
    <col min="12554" max="12800" width="9.109375" style="45"/>
    <col min="12801" max="12801" width="5.44140625" style="45" customWidth="1"/>
    <col min="12802" max="12802" width="9.5546875" style="45" customWidth="1"/>
    <col min="12803" max="12803" width="0" style="45" hidden="1" customWidth="1"/>
    <col min="12804" max="12804" width="5.5546875" style="45" customWidth="1"/>
    <col min="12805" max="12807" width="14.6640625" style="45" customWidth="1"/>
    <col min="12808" max="12808" width="30.6640625" style="45" customWidth="1"/>
    <col min="12809" max="12809" width="2.33203125" style="45" customWidth="1"/>
    <col min="12810" max="13056" width="9.109375" style="45"/>
    <col min="13057" max="13057" width="5.44140625" style="45" customWidth="1"/>
    <col min="13058" max="13058" width="9.5546875" style="45" customWidth="1"/>
    <col min="13059" max="13059" width="0" style="45" hidden="1" customWidth="1"/>
    <col min="13060" max="13060" width="5.5546875" style="45" customWidth="1"/>
    <col min="13061" max="13063" width="14.6640625" style="45" customWidth="1"/>
    <col min="13064" max="13064" width="30.6640625" style="45" customWidth="1"/>
    <col min="13065" max="13065" width="2.33203125" style="45" customWidth="1"/>
    <col min="13066" max="13312" width="9.109375" style="45"/>
    <col min="13313" max="13313" width="5.44140625" style="45" customWidth="1"/>
    <col min="13314" max="13314" width="9.5546875" style="45" customWidth="1"/>
    <col min="13315" max="13315" width="0" style="45" hidden="1" customWidth="1"/>
    <col min="13316" max="13316" width="5.5546875" style="45" customWidth="1"/>
    <col min="13317" max="13319" width="14.6640625" style="45" customWidth="1"/>
    <col min="13320" max="13320" width="30.6640625" style="45" customWidth="1"/>
    <col min="13321" max="13321" width="2.33203125" style="45" customWidth="1"/>
    <col min="13322" max="13568" width="9.109375" style="45"/>
    <col min="13569" max="13569" width="5.44140625" style="45" customWidth="1"/>
    <col min="13570" max="13570" width="9.5546875" style="45" customWidth="1"/>
    <col min="13571" max="13571" width="0" style="45" hidden="1" customWidth="1"/>
    <col min="13572" max="13572" width="5.5546875" style="45" customWidth="1"/>
    <col min="13573" max="13575" width="14.6640625" style="45" customWidth="1"/>
    <col min="13576" max="13576" width="30.6640625" style="45" customWidth="1"/>
    <col min="13577" max="13577" width="2.33203125" style="45" customWidth="1"/>
    <col min="13578" max="13824" width="9.109375" style="45"/>
    <col min="13825" max="13825" width="5.44140625" style="45" customWidth="1"/>
    <col min="13826" max="13826" width="9.5546875" style="45" customWidth="1"/>
    <col min="13827" max="13827" width="0" style="45" hidden="1" customWidth="1"/>
    <col min="13828" max="13828" width="5.5546875" style="45" customWidth="1"/>
    <col min="13829" max="13831" width="14.6640625" style="45" customWidth="1"/>
    <col min="13832" max="13832" width="30.6640625" style="45" customWidth="1"/>
    <col min="13833" max="13833" width="2.33203125" style="45" customWidth="1"/>
    <col min="13834" max="14080" width="9.109375" style="45"/>
    <col min="14081" max="14081" width="5.44140625" style="45" customWidth="1"/>
    <col min="14082" max="14082" width="9.5546875" style="45" customWidth="1"/>
    <col min="14083" max="14083" width="0" style="45" hidden="1" customWidth="1"/>
    <col min="14084" max="14084" width="5.5546875" style="45" customWidth="1"/>
    <col min="14085" max="14087" width="14.6640625" style="45" customWidth="1"/>
    <col min="14088" max="14088" width="30.6640625" style="45" customWidth="1"/>
    <col min="14089" max="14089" width="2.33203125" style="45" customWidth="1"/>
    <col min="14090" max="14336" width="9.109375" style="45"/>
    <col min="14337" max="14337" width="5.44140625" style="45" customWidth="1"/>
    <col min="14338" max="14338" width="9.5546875" style="45" customWidth="1"/>
    <col min="14339" max="14339" width="0" style="45" hidden="1" customWidth="1"/>
    <col min="14340" max="14340" width="5.5546875" style="45" customWidth="1"/>
    <col min="14341" max="14343" width="14.6640625" style="45" customWidth="1"/>
    <col min="14344" max="14344" width="30.6640625" style="45" customWidth="1"/>
    <col min="14345" max="14345" width="2.33203125" style="45" customWidth="1"/>
    <col min="14346" max="14592" width="9.109375" style="45"/>
    <col min="14593" max="14593" width="5.44140625" style="45" customWidth="1"/>
    <col min="14594" max="14594" width="9.5546875" style="45" customWidth="1"/>
    <col min="14595" max="14595" width="0" style="45" hidden="1" customWidth="1"/>
    <col min="14596" max="14596" width="5.5546875" style="45" customWidth="1"/>
    <col min="14597" max="14599" width="14.6640625" style="45" customWidth="1"/>
    <col min="14600" max="14600" width="30.6640625" style="45" customWidth="1"/>
    <col min="14601" max="14601" width="2.33203125" style="45" customWidth="1"/>
    <col min="14602" max="14848" width="9.109375" style="45"/>
    <col min="14849" max="14849" width="5.44140625" style="45" customWidth="1"/>
    <col min="14850" max="14850" width="9.5546875" style="45" customWidth="1"/>
    <col min="14851" max="14851" width="0" style="45" hidden="1" customWidth="1"/>
    <col min="14852" max="14852" width="5.5546875" style="45" customWidth="1"/>
    <col min="14853" max="14855" width="14.6640625" style="45" customWidth="1"/>
    <col min="14856" max="14856" width="30.6640625" style="45" customWidth="1"/>
    <col min="14857" max="14857" width="2.33203125" style="45" customWidth="1"/>
    <col min="14858" max="15104" width="9.109375" style="45"/>
    <col min="15105" max="15105" width="5.44140625" style="45" customWidth="1"/>
    <col min="15106" max="15106" width="9.5546875" style="45" customWidth="1"/>
    <col min="15107" max="15107" width="0" style="45" hidden="1" customWidth="1"/>
    <col min="15108" max="15108" width="5.5546875" style="45" customWidth="1"/>
    <col min="15109" max="15111" width="14.6640625" style="45" customWidth="1"/>
    <col min="15112" max="15112" width="30.6640625" style="45" customWidth="1"/>
    <col min="15113" max="15113" width="2.33203125" style="45" customWidth="1"/>
    <col min="15114" max="15360" width="9.109375" style="45"/>
    <col min="15361" max="15361" width="5.44140625" style="45" customWidth="1"/>
    <col min="15362" max="15362" width="9.5546875" style="45" customWidth="1"/>
    <col min="15363" max="15363" width="0" style="45" hidden="1" customWidth="1"/>
    <col min="15364" max="15364" width="5.5546875" style="45" customWidth="1"/>
    <col min="15365" max="15367" width="14.6640625" style="45" customWidth="1"/>
    <col min="15368" max="15368" width="30.6640625" style="45" customWidth="1"/>
    <col min="15369" max="15369" width="2.33203125" style="45" customWidth="1"/>
    <col min="15370" max="15616" width="9.109375" style="45"/>
    <col min="15617" max="15617" width="5.44140625" style="45" customWidth="1"/>
    <col min="15618" max="15618" width="9.5546875" style="45" customWidth="1"/>
    <col min="15619" max="15619" width="0" style="45" hidden="1" customWidth="1"/>
    <col min="15620" max="15620" width="5.5546875" style="45" customWidth="1"/>
    <col min="15621" max="15623" width="14.6640625" style="45" customWidth="1"/>
    <col min="15624" max="15624" width="30.6640625" style="45" customWidth="1"/>
    <col min="15625" max="15625" width="2.33203125" style="45" customWidth="1"/>
    <col min="15626" max="15872" width="9.109375" style="45"/>
    <col min="15873" max="15873" width="5.44140625" style="45" customWidth="1"/>
    <col min="15874" max="15874" width="9.5546875" style="45" customWidth="1"/>
    <col min="15875" max="15875" width="0" style="45" hidden="1" customWidth="1"/>
    <col min="15876" max="15876" width="5.5546875" style="45" customWidth="1"/>
    <col min="15877" max="15879" width="14.6640625" style="45" customWidth="1"/>
    <col min="15880" max="15880" width="30.6640625" style="45" customWidth="1"/>
    <col min="15881" max="15881" width="2.33203125" style="45" customWidth="1"/>
    <col min="15882" max="16128" width="9.109375" style="45"/>
    <col min="16129" max="16129" width="5.44140625" style="45" customWidth="1"/>
    <col min="16130" max="16130" width="9.5546875" style="45" customWidth="1"/>
    <col min="16131" max="16131" width="0" style="45" hidden="1" customWidth="1"/>
    <col min="16132" max="16132" width="5.5546875" style="45" customWidth="1"/>
    <col min="16133" max="16135" width="14.6640625" style="45" customWidth="1"/>
    <col min="16136" max="16136" width="30.6640625" style="45" customWidth="1"/>
    <col min="16137" max="16137" width="2.33203125" style="45" customWidth="1"/>
    <col min="16138" max="16384" width="9.109375" style="45"/>
  </cols>
  <sheetData>
    <row r="1" spans="1:11" ht="14.4">
      <c r="A1" s="44"/>
    </row>
    <row r="2" spans="1:11" ht="25.5" customHeight="1">
      <c r="K2" s="46" t="s">
        <v>182</v>
      </c>
    </row>
    <row r="3" spans="1:11">
      <c r="A3" s="47" t="s">
        <v>2</v>
      </c>
      <c r="K3" s="46" t="s">
        <v>183</v>
      </c>
    </row>
    <row r="4" spans="1:11">
      <c r="A4" s="48" t="s">
        <v>184</v>
      </c>
      <c r="B4" s="49"/>
      <c r="C4" s="49"/>
      <c r="K4" s="46" t="s">
        <v>185</v>
      </c>
    </row>
    <row r="5" spans="1:11">
      <c r="A5" s="48" t="s">
        <v>19</v>
      </c>
      <c r="B5" s="49"/>
      <c r="C5" s="49"/>
      <c r="K5" s="46" t="s">
        <v>186</v>
      </c>
    </row>
    <row r="6" spans="1:11">
      <c r="A6" s="50" t="s">
        <v>188</v>
      </c>
      <c r="B6" s="49"/>
      <c r="C6" s="49"/>
      <c r="K6" s="46" t="s">
        <v>187</v>
      </c>
    </row>
    <row r="7" spans="1:11">
      <c r="A7" s="50"/>
      <c r="B7" s="49"/>
      <c r="C7" s="49"/>
      <c r="K7" s="46">
        <v>1</v>
      </c>
    </row>
    <row r="8" spans="1:11">
      <c r="A8" s="50"/>
      <c r="B8" s="49"/>
      <c r="C8" s="49"/>
      <c r="K8" s="46"/>
    </row>
    <row r="9" spans="1:11">
      <c r="D9" s="51" t="s">
        <v>5</v>
      </c>
      <c r="E9" s="51">
        <v>9212</v>
      </c>
      <c r="F9" s="51">
        <v>0</v>
      </c>
      <c r="G9" s="52"/>
      <c r="H9" s="52"/>
      <c r="K9" s="53" t="s">
        <v>6</v>
      </c>
    </row>
    <row r="10" spans="1:11" ht="18.600000000000001">
      <c r="D10" s="51"/>
      <c r="E10" s="51"/>
      <c r="F10" s="51"/>
      <c r="G10" s="54"/>
      <c r="H10" s="55" t="str">
        <f ca="1">OFFSET(K1,K7,0)</f>
        <v>SEZNAM</v>
      </c>
      <c r="K10" s="53"/>
    </row>
    <row r="11" spans="1:11">
      <c r="A11" s="56" t="s">
        <v>189</v>
      </c>
      <c r="B11" s="57"/>
      <c r="C11" s="58" t="str">
        <f>CDOK1&amp;CDOK2&amp;" rev. "&amp;REV</f>
        <v>TP-N-9212 rev. 0</v>
      </c>
      <c r="D11" s="58" t="s">
        <v>216</v>
      </c>
      <c r="E11" s="59"/>
      <c r="F11" s="59"/>
      <c r="G11" s="59"/>
      <c r="H11" s="59"/>
    </row>
    <row r="12" spans="1:11">
      <c r="A12" s="60" t="s">
        <v>190</v>
      </c>
      <c r="B12" s="57"/>
      <c r="C12" s="59" t="s">
        <v>191</v>
      </c>
      <c r="D12" s="59" t="s">
        <v>214</v>
      </c>
      <c r="E12" s="59"/>
      <c r="F12" s="59"/>
      <c r="G12" s="59"/>
      <c r="H12" s="59"/>
      <c r="I12" s="88" t="s">
        <v>192</v>
      </c>
    </row>
    <row r="13" spans="1:11">
      <c r="A13" s="60" t="s">
        <v>193</v>
      </c>
      <c r="B13" s="57"/>
      <c r="C13" s="61" t="s">
        <v>194</v>
      </c>
      <c r="D13" s="59" t="s">
        <v>195</v>
      </c>
      <c r="E13" s="59"/>
      <c r="F13" s="59"/>
      <c r="G13" s="59"/>
      <c r="H13" s="59"/>
      <c r="I13" s="88"/>
      <c r="K13" s="45" t="s">
        <v>196</v>
      </c>
    </row>
    <row r="14" spans="1:11">
      <c r="A14" s="60"/>
      <c r="B14" s="57"/>
      <c r="C14" s="61"/>
      <c r="D14" s="59"/>
      <c r="E14" s="59"/>
      <c r="F14" s="59"/>
      <c r="G14" s="59"/>
      <c r="H14" s="59"/>
      <c r="I14" s="88"/>
    </row>
    <row r="15" spans="1:11">
      <c r="A15" s="57"/>
      <c r="B15" s="57"/>
      <c r="C15" s="62"/>
      <c r="D15" s="63"/>
      <c r="E15" s="59"/>
      <c r="F15" s="59"/>
      <c r="G15" s="64"/>
      <c r="H15" s="65" t="str">
        <f ca="1">OFFSET(K17,K15,0)</f>
        <v>INTERNAL</v>
      </c>
      <c r="I15" s="88"/>
      <c r="K15" s="45">
        <v>2</v>
      </c>
    </row>
    <row r="16" spans="1:11">
      <c r="A16" s="57"/>
      <c r="B16" s="57"/>
      <c r="C16" s="57"/>
      <c r="D16" s="57"/>
      <c r="E16" s="57"/>
      <c r="F16" s="57"/>
      <c r="G16" s="57"/>
      <c r="H16" s="57"/>
      <c r="I16" s="88"/>
    </row>
    <row r="17" spans="1:11">
      <c r="I17" s="88"/>
    </row>
    <row r="18" spans="1:11">
      <c r="A18" s="66" t="s">
        <v>197</v>
      </c>
      <c r="C18" s="67" t="s">
        <v>198</v>
      </c>
      <c r="D18" s="41" t="s">
        <v>177</v>
      </c>
      <c r="E18" s="68"/>
      <c r="F18" s="68"/>
      <c r="G18" s="68"/>
      <c r="H18" s="68"/>
      <c r="I18" s="88"/>
      <c r="K18" s="46" t="s">
        <v>7</v>
      </c>
    </row>
    <row r="19" spans="1:11">
      <c r="A19" s="66" t="s">
        <v>199</v>
      </c>
      <c r="C19" s="69" t="s">
        <v>200</v>
      </c>
      <c r="D19" s="70" t="s">
        <v>178</v>
      </c>
      <c r="E19" s="42"/>
      <c r="F19" s="42"/>
      <c r="G19" s="42"/>
      <c r="H19" s="42"/>
      <c r="I19" s="88"/>
      <c r="K19" s="46" t="s">
        <v>4</v>
      </c>
    </row>
    <row r="20" spans="1:11">
      <c r="A20" s="66" t="s">
        <v>201</v>
      </c>
      <c r="C20" s="69" t="s">
        <v>202</v>
      </c>
      <c r="D20" s="70" t="s">
        <v>179</v>
      </c>
      <c r="E20" s="42"/>
      <c r="F20" s="42"/>
      <c r="G20" s="42"/>
      <c r="H20" s="42"/>
      <c r="I20" s="88"/>
      <c r="K20" s="46" t="s">
        <v>8</v>
      </c>
    </row>
    <row r="21" spans="1:11">
      <c r="A21" s="66" t="s">
        <v>203</v>
      </c>
      <c r="C21" s="69"/>
      <c r="D21" s="70" t="s">
        <v>180</v>
      </c>
      <c r="E21" s="42"/>
      <c r="F21" s="42"/>
      <c r="G21" s="42"/>
      <c r="H21" s="42"/>
      <c r="I21" s="88"/>
      <c r="K21" s="46" t="s">
        <v>9</v>
      </c>
    </row>
    <row r="22" spans="1:11">
      <c r="A22" s="66" t="s">
        <v>204</v>
      </c>
      <c r="B22" s="70"/>
      <c r="C22" s="70"/>
      <c r="D22" s="70" t="s">
        <v>215</v>
      </c>
      <c r="E22" s="70"/>
      <c r="F22" s="70"/>
      <c r="G22" s="70"/>
      <c r="H22" s="70"/>
      <c r="I22" s="88"/>
    </row>
    <row r="23" spans="1:11">
      <c r="A23" s="70"/>
      <c r="B23" s="70"/>
      <c r="C23" s="70"/>
      <c r="D23" s="70" t="s">
        <v>181</v>
      </c>
      <c r="E23" s="70"/>
      <c r="F23" s="70"/>
      <c r="G23" s="70"/>
      <c r="H23" s="70"/>
      <c r="I23" s="88"/>
    </row>
    <row r="24" spans="1:11" ht="15.75" customHeight="1">
      <c r="A24" s="70"/>
      <c r="B24" s="70"/>
      <c r="C24" s="70"/>
      <c r="D24" s="70"/>
      <c r="E24" s="70"/>
      <c r="F24" s="70"/>
      <c r="G24" s="70"/>
      <c r="H24" s="70"/>
      <c r="I24" s="88"/>
    </row>
    <row r="25" spans="1:11">
      <c r="A25" s="70"/>
      <c r="B25" s="70"/>
      <c r="C25" s="70"/>
      <c r="D25" s="70"/>
      <c r="E25" s="70"/>
      <c r="F25" s="70"/>
      <c r="G25" s="70"/>
      <c r="H25" s="70"/>
      <c r="I25" s="88"/>
    </row>
    <row r="26" spans="1:11">
      <c r="A26" s="70"/>
      <c r="B26" s="70"/>
      <c r="C26" s="70"/>
      <c r="D26" s="70"/>
      <c r="E26" s="70"/>
      <c r="F26" s="70"/>
      <c r="G26" s="70"/>
      <c r="H26" s="70"/>
      <c r="I26" s="88"/>
    </row>
    <row r="27" spans="1:11">
      <c r="A27" s="70"/>
      <c r="B27" s="70"/>
      <c r="C27" s="70"/>
      <c r="D27" s="70"/>
      <c r="E27" s="70"/>
      <c r="F27" s="70"/>
      <c r="G27" s="70"/>
      <c r="H27" s="70"/>
      <c r="I27" s="88"/>
    </row>
    <row r="28" spans="1:11">
      <c r="A28" s="70"/>
      <c r="B28" s="70"/>
      <c r="C28" s="70"/>
      <c r="D28" s="70"/>
      <c r="E28" s="70"/>
      <c r="F28" s="70"/>
      <c r="G28" s="70"/>
      <c r="H28" s="70"/>
      <c r="I28" s="88"/>
    </row>
    <row r="29" spans="1:11">
      <c r="A29" s="70"/>
      <c r="B29" s="70"/>
      <c r="C29" s="70"/>
      <c r="D29" s="70"/>
      <c r="E29" s="70"/>
      <c r="F29" s="70"/>
      <c r="G29" s="70"/>
      <c r="H29" s="70"/>
      <c r="I29" s="88"/>
    </row>
    <row r="30" spans="1:11">
      <c r="A30" s="70"/>
      <c r="B30" s="70"/>
      <c r="C30" s="70"/>
      <c r="D30" s="70"/>
      <c r="E30" s="70"/>
      <c r="F30" s="70"/>
      <c r="G30" s="70"/>
      <c r="H30" s="70"/>
      <c r="I30" s="88"/>
    </row>
    <row r="31" spans="1:11">
      <c r="A31" s="70"/>
      <c r="B31" s="70"/>
      <c r="C31" s="70"/>
      <c r="D31" s="70"/>
      <c r="E31" s="70"/>
      <c r="F31" s="70"/>
      <c r="G31" s="70"/>
      <c r="H31" s="70"/>
      <c r="I31" s="88"/>
    </row>
    <row r="32" spans="1:11">
      <c r="A32" s="70"/>
      <c r="B32" s="70"/>
      <c r="C32" s="70"/>
      <c r="D32" s="70"/>
      <c r="E32" s="70"/>
      <c r="F32" s="70"/>
      <c r="G32" s="70"/>
      <c r="H32" s="70"/>
      <c r="I32" s="88"/>
    </row>
    <row r="33" spans="1:12">
      <c r="A33" s="70"/>
      <c r="B33" s="70"/>
      <c r="C33" s="70"/>
      <c r="D33" s="70"/>
      <c r="E33" s="70"/>
      <c r="F33" s="70"/>
      <c r="G33" s="70"/>
      <c r="H33" s="70"/>
      <c r="I33" s="88"/>
    </row>
    <row r="34" spans="1:12">
      <c r="A34" s="70"/>
      <c r="B34" s="70"/>
      <c r="C34" s="70"/>
      <c r="D34" s="70"/>
      <c r="E34" s="70"/>
      <c r="F34" s="70"/>
      <c r="G34" s="70"/>
      <c r="H34" s="70"/>
      <c r="I34" s="88"/>
    </row>
    <row r="35" spans="1:12">
      <c r="A35" s="70"/>
      <c r="B35" s="70"/>
      <c r="C35" s="70"/>
      <c r="D35" s="70"/>
      <c r="E35" s="70"/>
      <c r="F35" s="70"/>
      <c r="G35" s="70"/>
      <c r="H35" s="70"/>
      <c r="I35" s="88"/>
    </row>
    <row r="36" spans="1:12">
      <c r="A36" s="70"/>
      <c r="B36" s="70"/>
      <c r="C36" s="70"/>
      <c r="D36" s="70"/>
      <c r="E36" s="70"/>
      <c r="F36" s="70"/>
      <c r="G36" s="70"/>
      <c r="H36" s="70"/>
      <c r="I36" s="88"/>
    </row>
    <row r="37" spans="1:12">
      <c r="A37" s="70"/>
      <c r="B37" s="70"/>
      <c r="C37" s="70"/>
      <c r="D37" s="70"/>
      <c r="E37" s="70"/>
      <c r="F37" s="70"/>
      <c r="G37" s="70"/>
      <c r="H37" s="70"/>
      <c r="I37" s="88"/>
    </row>
    <row r="38" spans="1:12">
      <c r="A38" s="70"/>
      <c r="B38" s="70"/>
      <c r="C38" s="70"/>
      <c r="D38" s="70"/>
      <c r="E38" s="70"/>
      <c r="F38" s="70"/>
      <c r="G38" s="70"/>
      <c r="H38" s="70"/>
      <c r="I38" s="88"/>
    </row>
    <row r="39" spans="1:12">
      <c r="A39" s="70"/>
      <c r="B39" s="70"/>
      <c r="C39" s="70"/>
      <c r="D39" s="70"/>
      <c r="E39" s="70"/>
      <c r="F39" s="70"/>
      <c r="G39" s="70"/>
      <c r="H39" s="70"/>
      <c r="I39" s="88"/>
    </row>
    <row r="40" spans="1:12">
      <c r="A40" s="70"/>
      <c r="B40" s="70"/>
      <c r="C40" s="70"/>
      <c r="D40" s="70"/>
      <c r="E40" s="70"/>
      <c r="F40" s="70"/>
      <c r="G40" s="70"/>
      <c r="H40" s="70"/>
      <c r="I40" s="88"/>
    </row>
    <row r="41" spans="1:12">
      <c r="A41" s="70"/>
      <c r="B41" s="70"/>
      <c r="C41" s="70"/>
      <c r="D41" s="70"/>
      <c r="E41" s="70"/>
      <c r="F41" s="70"/>
      <c r="G41" s="70"/>
      <c r="H41" s="70"/>
      <c r="I41" s="88"/>
    </row>
    <row r="42" spans="1:12">
      <c r="A42" s="70"/>
      <c r="B42" s="70"/>
      <c r="C42" s="70"/>
      <c r="D42" s="70"/>
      <c r="E42" s="70"/>
      <c r="F42" s="70"/>
      <c r="G42" s="70"/>
      <c r="H42" s="70"/>
      <c r="I42" s="88"/>
      <c r="K42" s="71" t="s">
        <v>3</v>
      </c>
      <c r="L42" s="46" t="s">
        <v>10</v>
      </c>
    </row>
    <row r="43" spans="1:12">
      <c r="A43" s="70"/>
      <c r="B43" s="70"/>
      <c r="C43" s="70"/>
      <c r="D43" s="70"/>
      <c r="E43" s="70"/>
      <c r="F43" s="70"/>
      <c r="G43" s="70"/>
      <c r="H43" s="70"/>
      <c r="I43" s="88"/>
      <c r="K43" s="46" t="s">
        <v>11</v>
      </c>
    </row>
    <row r="44" spans="1:12">
      <c r="A44" s="70"/>
      <c r="B44" s="70"/>
      <c r="C44" s="70"/>
      <c r="D44" s="70"/>
      <c r="E44" s="70"/>
      <c r="F44" s="70"/>
      <c r="G44" s="70"/>
      <c r="H44" s="70"/>
      <c r="I44" s="88"/>
      <c r="K44" s="46" t="s">
        <v>12</v>
      </c>
    </row>
    <row r="45" spans="1:12">
      <c r="A45" s="70"/>
      <c r="B45" s="70"/>
      <c r="C45" s="70"/>
      <c r="D45" s="70"/>
      <c r="E45" s="70"/>
      <c r="F45" s="70"/>
      <c r="G45" s="70"/>
      <c r="H45" s="70"/>
      <c r="I45" s="88"/>
      <c r="K45" s="46" t="s">
        <v>13</v>
      </c>
    </row>
    <row r="46" spans="1:12">
      <c r="A46" s="70"/>
      <c r="B46" s="70"/>
      <c r="C46" s="70"/>
      <c r="D46" s="70"/>
      <c r="E46" s="70"/>
      <c r="F46" s="70"/>
      <c r="G46" s="70"/>
      <c r="H46" s="70"/>
      <c r="I46" s="88"/>
      <c r="K46" s="46" t="s">
        <v>14</v>
      </c>
    </row>
    <row r="47" spans="1:12">
      <c r="A47" s="70"/>
      <c r="B47" s="70"/>
      <c r="C47" s="70"/>
      <c r="D47" s="70"/>
      <c r="E47" s="70"/>
      <c r="F47" s="70"/>
      <c r="G47" s="70"/>
      <c r="H47" s="70"/>
      <c r="I47" s="88"/>
      <c r="K47" s="46" t="s">
        <v>15</v>
      </c>
    </row>
    <row r="48" spans="1:12">
      <c r="A48" s="70"/>
      <c r="B48" s="70"/>
      <c r="C48" s="70"/>
      <c r="D48" s="70"/>
      <c r="E48" s="70"/>
      <c r="F48" s="70"/>
      <c r="G48" s="70"/>
      <c r="H48" s="70"/>
      <c r="I48" s="88"/>
      <c r="K48" s="46" t="s">
        <v>16</v>
      </c>
    </row>
    <row r="49" spans="1:11">
      <c r="A49" s="70"/>
      <c r="B49" s="70"/>
      <c r="C49" s="70"/>
      <c r="D49" s="70"/>
      <c r="E49" s="70"/>
      <c r="F49" s="70"/>
      <c r="G49" s="70"/>
      <c r="H49" s="70"/>
      <c r="I49" s="88"/>
      <c r="K49" s="46" t="s">
        <v>17</v>
      </c>
    </row>
    <row r="50" spans="1:11">
      <c r="A50" s="70"/>
      <c r="B50" s="70"/>
      <c r="C50" s="70"/>
      <c r="D50" s="70"/>
      <c r="E50" s="70"/>
      <c r="F50" s="70"/>
      <c r="G50" s="70"/>
      <c r="H50" s="70"/>
      <c r="I50" s="88"/>
      <c r="K50" s="45" t="s">
        <v>18</v>
      </c>
    </row>
    <row r="51" spans="1:11">
      <c r="A51" s="72"/>
      <c r="B51" s="72"/>
      <c r="C51" s="72"/>
      <c r="D51" s="72" t="str">
        <f ca="1">OFFSET(K41,K51,0)</f>
        <v xml:space="preserve"> </v>
      </c>
      <c r="E51" s="72"/>
      <c r="F51" s="72"/>
      <c r="G51" s="72"/>
      <c r="H51" s="72"/>
      <c r="I51" s="88"/>
      <c r="K51" s="45">
        <v>1</v>
      </c>
    </row>
    <row r="52" spans="1:11">
      <c r="A52" s="73"/>
      <c r="B52" s="73"/>
      <c r="C52" s="73"/>
      <c r="D52" s="70" t="str">
        <f ca="1">OFFSET(K$41,K52,0)</f>
        <v xml:space="preserve"> </v>
      </c>
      <c r="E52" s="73"/>
      <c r="F52" s="73"/>
      <c r="G52" s="73"/>
      <c r="H52" s="73"/>
      <c r="I52" s="88"/>
      <c r="K52" s="45">
        <v>1</v>
      </c>
    </row>
    <row r="53" spans="1:11">
      <c r="A53" s="73"/>
      <c r="B53" s="73"/>
      <c r="C53" s="73"/>
      <c r="D53" s="70" t="str">
        <f ca="1">OFFSET(K$41,K53,0)</f>
        <v xml:space="preserve"> </v>
      </c>
      <c r="E53" s="73"/>
      <c r="F53" s="73"/>
      <c r="G53" s="73"/>
      <c r="H53" s="73"/>
      <c r="I53" s="88"/>
      <c r="K53" s="45">
        <v>1</v>
      </c>
    </row>
    <row r="54" spans="1:11">
      <c r="A54" s="73"/>
      <c r="B54" s="73"/>
      <c r="C54" s="73"/>
      <c r="D54" s="70" t="str">
        <f ca="1">OFFSET(K$41,K54,0)</f>
        <v xml:space="preserve"> </v>
      </c>
      <c r="E54" s="73"/>
      <c r="F54" s="73"/>
      <c r="G54" s="73"/>
      <c r="H54" s="73"/>
      <c r="I54" s="88"/>
      <c r="K54" s="45">
        <v>1</v>
      </c>
    </row>
    <row r="55" spans="1:11">
      <c r="A55" s="73"/>
      <c r="B55" s="73"/>
      <c r="C55" s="73"/>
      <c r="D55" s="70" t="str">
        <f ca="1">OFFSET(K$41,K55,0)</f>
        <v xml:space="preserve"> </v>
      </c>
      <c r="E55" s="73"/>
      <c r="F55" s="73"/>
      <c r="G55" s="73"/>
      <c r="H55" s="73"/>
      <c r="I55" s="88"/>
      <c r="K55" s="45">
        <v>1</v>
      </c>
    </row>
    <row r="56" spans="1:11">
      <c r="A56" s="74">
        <v>0</v>
      </c>
      <c r="B56" s="43">
        <v>46203</v>
      </c>
      <c r="C56" s="75" t="s">
        <v>205</v>
      </c>
      <c r="D56" s="75" t="s">
        <v>12</v>
      </c>
      <c r="E56" s="75" t="s">
        <v>176</v>
      </c>
      <c r="F56" s="75" t="s">
        <v>20</v>
      </c>
      <c r="G56" s="75" t="s">
        <v>21</v>
      </c>
      <c r="H56" s="72"/>
      <c r="I56" s="88"/>
      <c r="K56" s="45">
        <v>3</v>
      </c>
    </row>
    <row r="57" spans="1:11">
      <c r="A57" s="76" t="s">
        <v>0</v>
      </c>
      <c r="B57" s="76" t="s">
        <v>206</v>
      </c>
      <c r="C57" s="77" t="s">
        <v>207</v>
      </c>
      <c r="D57" s="76" t="s">
        <v>1</v>
      </c>
      <c r="E57" s="76" t="s">
        <v>208</v>
      </c>
      <c r="F57" s="76" t="s">
        <v>209</v>
      </c>
      <c r="G57" s="76" t="s">
        <v>210</v>
      </c>
      <c r="H57" s="76" t="s">
        <v>211</v>
      </c>
      <c r="I57" s="88"/>
    </row>
    <row r="58" spans="1:11">
      <c r="A58" s="78"/>
      <c r="B58" s="78"/>
      <c r="C58" s="78"/>
      <c r="D58" s="78"/>
      <c r="E58" s="78"/>
      <c r="F58" s="78"/>
      <c r="G58" s="78"/>
      <c r="H58" s="78"/>
      <c r="I58" s="88"/>
    </row>
    <row r="59" spans="1:11" ht="9.75" customHeight="1">
      <c r="A59" s="79" t="s">
        <v>212</v>
      </c>
      <c r="B59" s="80"/>
      <c r="C59" s="80"/>
      <c r="D59" s="80"/>
      <c r="E59" s="80"/>
      <c r="I59" s="88"/>
    </row>
    <row r="60" spans="1:11" ht="9.75" customHeight="1">
      <c r="A60" s="79" t="s">
        <v>213</v>
      </c>
      <c r="I60" s="88"/>
    </row>
  </sheetData>
  <mergeCells count="1">
    <mergeCell ref="I12:I60"/>
  </mergeCells>
  <conditionalFormatting sqref="G15:H15">
    <cfRule type="cellIs" dxfId="3" priority="1" stopIfTrue="1" operator="equal">
      <formula>$K$19</formula>
    </cfRule>
    <cfRule type="cellIs" dxfId="2" priority="2" stopIfTrue="1" operator="equal">
      <formula>$K$21</formula>
    </cfRule>
    <cfRule type="cellIs" dxfId="1" priority="3" stopIfTrue="1" operator="equal">
      <formula>$K$18</formula>
    </cfRule>
    <cfRule type="cellIs" dxfId="0" priority="4" stopIfTrue="1" operator="equal">
      <formula>$K$20</formula>
    </cfRule>
  </conditionalFormatting>
  <pageMargins left="0.78740157480314965" right="0" top="0.43307086614173229" bottom="0.31496062992125984" header="0.31496062992125984" footer="0.31496062992125984"/>
  <pageSetup paperSize="9" fitToWidth="0" fitToHeight="0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5369" r:id="rId4" name="Drop Down 9">
              <controlPr defaultSize="0" autoLine="0" autoPict="0">
                <anchor moveWithCells="1">
                  <from>
                    <xdr:col>9</xdr:col>
                    <xdr:colOff>571500</xdr:colOff>
                    <xdr:row>6</xdr:row>
                    <xdr:rowOff>7620</xdr:rowOff>
                  </from>
                  <to>
                    <xdr:col>12</xdr:col>
                    <xdr:colOff>502920</xdr:colOff>
                    <xdr:row>7</xdr:row>
                    <xdr:rowOff>106680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70" r:id="rId5" name="Drop Down 10">
              <controlPr defaultSize="0" autoLine="0" autoPict="0">
                <anchor moveWithCells="1">
                  <from>
                    <xdr:col>10</xdr:col>
                    <xdr:colOff>22860</xdr:colOff>
                    <xdr:row>14</xdr:row>
                    <xdr:rowOff>30480</xdr:rowOff>
                  </from>
                  <to>
                    <xdr:col>13</xdr:col>
                    <xdr:colOff>121920</xdr:colOff>
                    <xdr:row>15</xdr:row>
                    <xdr:rowOff>68580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71" r:id="rId6" name="Drop Down 11">
              <controlPr defaultSize="0" autoLine="0" autoPict="0">
                <anchor moveWithCells="1">
                  <from>
                    <xdr:col>10</xdr:col>
                    <xdr:colOff>22860</xdr:colOff>
                    <xdr:row>55</xdr:row>
                    <xdr:rowOff>121920</xdr:rowOff>
                  </from>
                  <to>
                    <xdr:col>13</xdr:col>
                    <xdr:colOff>121920</xdr:colOff>
                    <xdr:row>56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72" r:id="rId7" name="Drop Down 12">
              <controlPr defaultSize="0" autoLine="0" autoPict="0">
                <anchor moveWithCells="1">
                  <from>
                    <xdr:col>10</xdr:col>
                    <xdr:colOff>22860</xdr:colOff>
                    <xdr:row>54</xdr:row>
                    <xdr:rowOff>121920</xdr:rowOff>
                  </from>
                  <to>
                    <xdr:col>13</xdr:col>
                    <xdr:colOff>121920</xdr:colOff>
                    <xdr:row>55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73" r:id="rId8" name="Drop Down 13">
              <controlPr defaultSize="0" autoLine="0" autoPict="0">
                <anchor moveWithCells="1">
                  <from>
                    <xdr:col>10</xdr:col>
                    <xdr:colOff>22860</xdr:colOff>
                    <xdr:row>53</xdr:row>
                    <xdr:rowOff>121920</xdr:rowOff>
                  </from>
                  <to>
                    <xdr:col>13</xdr:col>
                    <xdr:colOff>121920</xdr:colOff>
                    <xdr:row>54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74" r:id="rId9" name="Drop Down 14">
              <controlPr defaultSize="0" autoLine="0" autoPict="0">
                <anchor moveWithCells="1">
                  <from>
                    <xdr:col>10</xdr:col>
                    <xdr:colOff>22860</xdr:colOff>
                    <xdr:row>52</xdr:row>
                    <xdr:rowOff>121920</xdr:rowOff>
                  </from>
                  <to>
                    <xdr:col>13</xdr:col>
                    <xdr:colOff>121920</xdr:colOff>
                    <xdr:row>53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75" r:id="rId10" name="Drop Down 15">
              <controlPr defaultSize="0" autoLine="0" autoPict="0">
                <anchor moveWithCells="1">
                  <from>
                    <xdr:col>10</xdr:col>
                    <xdr:colOff>22860</xdr:colOff>
                    <xdr:row>51</xdr:row>
                    <xdr:rowOff>121920</xdr:rowOff>
                  </from>
                  <to>
                    <xdr:col>13</xdr:col>
                    <xdr:colOff>121920</xdr:colOff>
                    <xdr:row>52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76" r:id="rId11" name="Drop Down 16">
              <controlPr defaultSize="0" autoLine="0" autoPict="0">
                <anchor moveWithCells="1">
                  <from>
                    <xdr:col>10</xdr:col>
                    <xdr:colOff>22860</xdr:colOff>
                    <xdr:row>50</xdr:row>
                    <xdr:rowOff>121920</xdr:rowOff>
                  </from>
                  <to>
                    <xdr:col>13</xdr:col>
                    <xdr:colOff>121920</xdr:colOff>
                    <xdr:row>51</xdr:row>
                    <xdr:rowOff>152400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3E8369-B1CF-4147-8AC1-87AAF7D104D6}">
  <sheetPr codeName="List2">
    <pageSetUpPr fitToPage="1"/>
  </sheetPr>
  <dimension ref="A1:Q69"/>
  <sheetViews>
    <sheetView view="pageBreakPreview" topLeftCell="A44" zoomScale="110" zoomScaleNormal="120" zoomScaleSheetLayoutView="110" workbookViewId="0">
      <selection activeCell="E15" sqref="E15"/>
    </sheetView>
  </sheetViews>
  <sheetFormatPr defaultRowHeight="13.2"/>
  <cols>
    <col min="1" max="3" width="4.5546875" customWidth="1"/>
    <col min="4" max="4" width="20.44140625" style="17" customWidth="1"/>
    <col min="5" max="5" width="10.88671875" customWidth="1"/>
    <col min="6" max="6" width="53.6640625" bestFit="1" customWidth="1"/>
    <col min="7" max="7" width="19.44140625" customWidth="1"/>
    <col min="8" max="8" width="14.5546875" customWidth="1"/>
    <col min="9" max="9" width="7.109375" customWidth="1"/>
    <col min="10" max="10" width="9.44140625" customWidth="1"/>
    <col min="11" max="11" width="9.44140625" bestFit="1" customWidth="1"/>
    <col min="12" max="12" width="8.5546875" customWidth="1"/>
    <col min="13" max="13" width="21.88671875" customWidth="1"/>
    <col min="14" max="14" width="10.33203125" customWidth="1"/>
    <col min="15" max="15" width="18" customWidth="1"/>
  </cols>
  <sheetData>
    <row r="1" spans="1:17" ht="12.75" customHeight="1">
      <c r="A1" s="94" t="s">
        <v>25</v>
      </c>
      <c r="B1" s="96" t="s">
        <v>22</v>
      </c>
      <c r="C1" s="96" t="s">
        <v>23</v>
      </c>
      <c r="D1" s="89" t="s">
        <v>46</v>
      </c>
      <c r="E1" s="91" t="s">
        <v>53</v>
      </c>
      <c r="F1" s="4" t="s">
        <v>47</v>
      </c>
      <c r="G1" s="91" t="s">
        <v>48</v>
      </c>
      <c r="H1" s="91" t="s">
        <v>44</v>
      </c>
      <c r="I1" s="81" t="s">
        <v>49</v>
      </c>
      <c r="J1" s="83" t="s">
        <v>218</v>
      </c>
      <c r="K1" s="4" t="s">
        <v>69</v>
      </c>
      <c r="L1" s="4" t="s">
        <v>220</v>
      </c>
      <c r="M1" s="38" t="s">
        <v>222</v>
      </c>
      <c r="N1" s="2"/>
    </row>
    <row r="2" spans="1:17" ht="13.5" customHeight="1" thickBot="1">
      <c r="A2" s="95"/>
      <c r="B2" s="92"/>
      <c r="C2" s="92"/>
      <c r="D2" s="90"/>
      <c r="E2" s="92"/>
      <c r="F2" s="5" t="s">
        <v>224</v>
      </c>
      <c r="G2" s="93"/>
      <c r="H2" s="92"/>
      <c r="I2" s="5" t="s">
        <v>219</v>
      </c>
      <c r="J2" s="82" t="s">
        <v>217</v>
      </c>
      <c r="K2" s="5" t="s">
        <v>67</v>
      </c>
      <c r="L2" s="40" t="s">
        <v>221</v>
      </c>
      <c r="M2" s="39" t="s">
        <v>223</v>
      </c>
      <c r="N2" s="3"/>
      <c r="O2" t="s">
        <v>226</v>
      </c>
      <c r="P2" t="s">
        <v>228</v>
      </c>
    </row>
    <row r="3" spans="1:17" ht="13.8">
      <c r="A3" s="14"/>
      <c r="B3" s="19"/>
      <c r="C3" s="8"/>
      <c r="D3" s="6"/>
      <c r="E3" s="8"/>
      <c r="F3" s="20"/>
      <c r="G3" s="20"/>
      <c r="H3" s="8"/>
      <c r="I3" s="8"/>
      <c r="J3" s="8"/>
      <c r="K3" s="8"/>
      <c r="L3" s="8"/>
      <c r="M3" s="18"/>
    </row>
    <row r="4" spans="1:17" ht="13.8">
      <c r="A4" s="14">
        <v>1</v>
      </c>
      <c r="B4" s="19"/>
      <c r="C4" s="21"/>
      <c r="D4" s="84" t="s">
        <v>32</v>
      </c>
      <c r="E4" s="21" t="s">
        <v>40</v>
      </c>
      <c r="F4" s="21" t="s">
        <v>73</v>
      </c>
      <c r="G4" s="21" t="s">
        <v>45</v>
      </c>
      <c r="H4" s="21" t="s">
        <v>135</v>
      </c>
      <c r="I4" s="12">
        <v>400</v>
      </c>
      <c r="J4" s="12">
        <v>7.5</v>
      </c>
      <c r="K4" s="11">
        <f>J4*0.9</f>
        <v>6.75</v>
      </c>
      <c r="L4" s="21" t="s">
        <v>24</v>
      </c>
      <c r="M4" s="22" t="s">
        <v>78</v>
      </c>
      <c r="O4" s="9"/>
      <c r="P4" t="s">
        <v>229</v>
      </c>
      <c r="Q4" t="s">
        <v>232</v>
      </c>
    </row>
    <row r="5" spans="1:17" ht="13.8">
      <c r="A5" s="15">
        <v>2</v>
      </c>
      <c r="B5" s="19"/>
      <c r="C5" s="21"/>
      <c r="D5" s="84" t="s">
        <v>32</v>
      </c>
      <c r="E5" s="21" t="s">
        <v>61</v>
      </c>
      <c r="F5" s="21" t="s">
        <v>62</v>
      </c>
      <c r="G5" s="21" t="s">
        <v>45</v>
      </c>
      <c r="H5" s="21" t="s">
        <v>135</v>
      </c>
      <c r="I5" s="12">
        <v>400</v>
      </c>
      <c r="J5" s="85">
        <v>11</v>
      </c>
      <c r="K5" s="11">
        <f>J5*0.9</f>
        <v>9.9</v>
      </c>
      <c r="L5" s="35" t="s">
        <v>24</v>
      </c>
      <c r="M5" s="9" t="s">
        <v>79</v>
      </c>
      <c r="O5" s="9"/>
      <c r="P5" t="s">
        <v>230</v>
      </c>
      <c r="Q5" t="s">
        <v>232</v>
      </c>
    </row>
    <row r="6" spans="1:17" ht="13.8">
      <c r="A6" s="14">
        <v>3</v>
      </c>
      <c r="B6" s="19"/>
      <c r="C6" s="21"/>
      <c r="D6" s="84" t="s">
        <v>32</v>
      </c>
      <c r="E6" s="21" t="s">
        <v>80</v>
      </c>
      <c r="F6" s="21" t="s">
        <v>81</v>
      </c>
      <c r="G6" s="21" t="s">
        <v>82</v>
      </c>
      <c r="H6" s="21" t="s">
        <v>135</v>
      </c>
      <c r="I6" s="12">
        <v>400</v>
      </c>
      <c r="J6" s="12">
        <v>2.5</v>
      </c>
      <c r="K6" s="11">
        <f>J6*0.9</f>
        <v>2.25</v>
      </c>
      <c r="L6" s="21" t="s">
        <v>33</v>
      </c>
      <c r="M6" s="34"/>
      <c r="O6" s="9"/>
      <c r="P6" t="s">
        <v>229</v>
      </c>
    </row>
    <row r="7" spans="1:17" ht="13.8">
      <c r="A7" s="15">
        <v>4</v>
      </c>
      <c r="B7" s="19"/>
      <c r="C7" s="21"/>
      <c r="D7" s="84"/>
      <c r="E7" s="21"/>
      <c r="F7" s="21"/>
      <c r="G7" s="21"/>
      <c r="H7" s="21"/>
      <c r="I7" s="12"/>
      <c r="J7" s="12"/>
      <c r="K7" s="11"/>
      <c r="L7" s="21"/>
      <c r="M7" s="34"/>
      <c r="O7" s="9"/>
    </row>
    <row r="8" spans="1:17" ht="13.8">
      <c r="A8" s="14">
        <v>5</v>
      </c>
      <c r="B8" s="19"/>
      <c r="C8" s="35" t="s">
        <v>91</v>
      </c>
      <c r="D8" s="84" t="s">
        <v>83</v>
      </c>
      <c r="E8" s="21" t="s">
        <v>41</v>
      </c>
      <c r="F8" s="21" t="s">
        <v>87</v>
      </c>
      <c r="G8" s="21"/>
      <c r="H8" s="21" t="s">
        <v>134</v>
      </c>
      <c r="I8" s="12">
        <v>400</v>
      </c>
      <c r="J8" s="12">
        <v>75</v>
      </c>
      <c r="K8" s="11">
        <f>J8*0.9</f>
        <v>67.5</v>
      </c>
      <c r="L8" s="21"/>
      <c r="M8" s="34" t="s">
        <v>99</v>
      </c>
      <c r="O8" s="9"/>
      <c r="P8" t="s">
        <v>231</v>
      </c>
    </row>
    <row r="9" spans="1:17" ht="13.8">
      <c r="A9" s="15">
        <v>6</v>
      </c>
      <c r="B9" s="19"/>
      <c r="C9" s="35" t="s">
        <v>91</v>
      </c>
      <c r="D9" s="84" t="s">
        <v>83</v>
      </c>
      <c r="E9" s="21" t="s">
        <v>84</v>
      </c>
      <c r="F9" s="21" t="s">
        <v>88</v>
      </c>
      <c r="G9" s="21"/>
      <c r="H9" s="21" t="s">
        <v>225</v>
      </c>
      <c r="I9" s="12">
        <v>400</v>
      </c>
      <c r="J9" s="12">
        <v>3</v>
      </c>
      <c r="K9" s="11">
        <f>J9*0.9</f>
        <v>2.7</v>
      </c>
      <c r="L9" s="21"/>
      <c r="M9" s="34"/>
      <c r="O9" s="9" t="s">
        <v>41</v>
      </c>
      <c r="P9" t="s">
        <v>231</v>
      </c>
    </row>
    <row r="10" spans="1:17" ht="13.8">
      <c r="A10" s="14">
        <v>7</v>
      </c>
      <c r="B10" s="19"/>
      <c r="C10" s="35" t="s">
        <v>91</v>
      </c>
      <c r="D10" s="84" t="s">
        <v>83</v>
      </c>
      <c r="E10" s="21" t="s">
        <v>85</v>
      </c>
      <c r="F10" s="21" t="s">
        <v>89</v>
      </c>
      <c r="G10" s="21"/>
      <c r="H10" s="21" t="s">
        <v>225</v>
      </c>
      <c r="I10" s="12">
        <v>400</v>
      </c>
      <c r="J10" s="12">
        <v>0.37</v>
      </c>
      <c r="K10" s="11">
        <f>J10*0.9</f>
        <v>0.33300000000000002</v>
      </c>
      <c r="L10" s="21"/>
      <c r="M10" s="34"/>
      <c r="O10" s="9" t="s">
        <v>227</v>
      </c>
      <c r="P10" t="s">
        <v>231</v>
      </c>
    </row>
    <row r="11" spans="1:17" ht="13.8">
      <c r="A11" s="15">
        <v>8</v>
      </c>
      <c r="B11" s="19"/>
      <c r="C11" s="35" t="s">
        <v>91</v>
      </c>
      <c r="D11" s="84" t="s">
        <v>83</v>
      </c>
      <c r="E11" s="21" t="s">
        <v>86</v>
      </c>
      <c r="F11" s="21" t="s">
        <v>90</v>
      </c>
      <c r="G11" s="21"/>
      <c r="H11" s="21" t="s">
        <v>225</v>
      </c>
      <c r="I11" s="12">
        <v>400</v>
      </c>
      <c r="J11" s="12">
        <v>3</v>
      </c>
      <c r="K11" s="11">
        <f>J11*0.9</f>
        <v>2.7</v>
      </c>
      <c r="L11" s="21"/>
      <c r="M11" s="34"/>
      <c r="O11" s="9"/>
      <c r="P11" t="s">
        <v>231</v>
      </c>
    </row>
    <row r="12" spans="1:17" ht="13.8">
      <c r="A12" s="14">
        <v>9</v>
      </c>
      <c r="B12" s="19"/>
      <c r="C12" s="21"/>
      <c r="D12" s="84"/>
      <c r="E12" s="21"/>
      <c r="F12" s="21"/>
      <c r="G12" s="21"/>
      <c r="H12" s="21"/>
      <c r="I12" s="12"/>
      <c r="J12" s="12"/>
      <c r="K12" s="11"/>
      <c r="L12" s="21"/>
      <c r="M12" s="34"/>
      <c r="O12" s="9"/>
    </row>
    <row r="13" spans="1:17" ht="13.8">
      <c r="A13" s="15">
        <v>10</v>
      </c>
      <c r="B13" s="19"/>
      <c r="C13" s="21"/>
      <c r="D13" s="84" t="s">
        <v>66</v>
      </c>
      <c r="E13" s="21" t="s">
        <v>59</v>
      </c>
      <c r="F13" s="21" t="s">
        <v>92</v>
      </c>
      <c r="G13" s="21" t="s">
        <v>93</v>
      </c>
      <c r="H13" s="21" t="s">
        <v>135</v>
      </c>
      <c r="I13" s="12">
        <v>400</v>
      </c>
      <c r="J13" s="12">
        <v>4</v>
      </c>
      <c r="K13" s="11">
        <f>J13*0.9</f>
        <v>3.6</v>
      </c>
      <c r="L13" s="21" t="s">
        <v>33</v>
      </c>
      <c r="M13" s="34"/>
      <c r="O13" s="9"/>
      <c r="P13" t="s">
        <v>229</v>
      </c>
      <c r="Q13" t="s">
        <v>232</v>
      </c>
    </row>
    <row r="14" spans="1:17" ht="13.8">
      <c r="A14" s="14">
        <v>11</v>
      </c>
      <c r="B14" s="19"/>
      <c r="C14" s="21"/>
      <c r="D14" s="84" t="s">
        <v>66</v>
      </c>
      <c r="E14" s="21" t="s">
        <v>60</v>
      </c>
      <c r="F14" s="21" t="s">
        <v>92</v>
      </c>
      <c r="G14" s="21" t="s">
        <v>93</v>
      </c>
      <c r="H14" s="21" t="s">
        <v>135</v>
      </c>
      <c r="I14" s="12">
        <v>400</v>
      </c>
      <c r="J14" s="12">
        <v>4</v>
      </c>
      <c r="K14" s="11">
        <f>J14*0.9</f>
        <v>3.6</v>
      </c>
      <c r="L14" s="21" t="s">
        <v>33</v>
      </c>
      <c r="M14" s="34"/>
      <c r="O14" s="9"/>
      <c r="P14" t="s">
        <v>229</v>
      </c>
      <c r="Q14" t="s">
        <v>232</v>
      </c>
    </row>
    <row r="15" spans="1:17" ht="13.8">
      <c r="A15" s="15">
        <v>12</v>
      </c>
      <c r="B15" s="19"/>
      <c r="C15" s="21"/>
      <c r="D15" s="84"/>
      <c r="E15" s="21"/>
      <c r="F15" s="21"/>
      <c r="G15" s="21"/>
      <c r="H15" s="21"/>
      <c r="I15" s="12"/>
      <c r="J15" s="12"/>
      <c r="K15" s="11"/>
      <c r="L15" s="21"/>
      <c r="M15" s="34"/>
      <c r="O15" s="9"/>
    </row>
    <row r="16" spans="1:17" ht="13.8">
      <c r="A16" s="14">
        <v>13</v>
      </c>
      <c r="B16" s="19"/>
      <c r="C16" s="35" t="s">
        <v>91</v>
      </c>
      <c r="D16" s="84" t="s">
        <v>83</v>
      </c>
      <c r="E16" s="21" t="s">
        <v>34</v>
      </c>
      <c r="F16" s="21" t="s">
        <v>98</v>
      </c>
      <c r="G16" s="21"/>
      <c r="H16" s="21" t="s">
        <v>41</v>
      </c>
      <c r="I16" s="12">
        <v>400</v>
      </c>
      <c r="J16" s="12">
        <v>30</v>
      </c>
      <c r="K16" s="11">
        <f>J16*0.9</f>
        <v>27</v>
      </c>
      <c r="L16" s="21" t="s">
        <v>24</v>
      </c>
      <c r="M16" s="34" t="s">
        <v>100</v>
      </c>
      <c r="O16" s="9"/>
      <c r="P16" t="s">
        <v>231</v>
      </c>
    </row>
    <row r="17" spans="1:17" ht="13.8">
      <c r="A17" s="15">
        <v>14</v>
      </c>
      <c r="B17" s="19"/>
      <c r="C17" s="35" t="s">
        <v>91</v>
      </c>
      <c r="D17" s="84" t="s">
        <v>83</v>
      </c>
      <c r="E17" s="21" t="s">
        <v>94</v>
      </c>
      <c r="F17" s="21" t="s">
        <v>96</v>
      </c>
      <c r="G17" s="21"/>
      <c r="H17" s="21" t="s">
        <v>41</v>
      </c>
      <c r="I17" s="12">
        <v>400</v>
      </c>
      <c r="J17" s="12">
        <v>3</v>
      </c>
      <c r="K17" s="11">
        <f>J17*0.9</f>
        <v>2.7</v>
      </c>
      <c r="L17" s="21" t="s">
        <v>33</v>
      </c>
      <c r="M17" s="34"/>
      <c r="O17" s="9"/>
      <c r="P17" t="s">
        <v>231</v>
      </c>
    </row>
    <row r="18" spans="1:17" ht="27.6">
      <c r="A18" s="14">
        <v>15</v>
      </c>
      <c r="B18" s="19"/>
      <c r="C18" s="35" t="s">
        <v>91</v>
      </c>
      <c r="D18" s="84" t="s">
        <v>83</v>
      </c>
      <c r="E18" s="21" t="s">
        <v>95</v>
      </c>
      <c r="F18" s="21" t="s">
        <v>97</v>
      </c>
      <c r="G18" s="21"/>
      <c r="H18" s="21" t="s">
        <v>41</v>
      </c>
      <c r="I18" s="12">
        <v>400</v>
      </c>
      <c r="J18" s="12">
        <v>7.5</v>
      </c>
      <c r="K18" s="11">
        <f>J18*0.9</f>
        <v>6.75</v>
      </c>
      <c r="L18" s="21" t="s">
        <v>24</v>
      </c>
      <c r="M18" s="36" t="s">
        <v>136</v>
      </c>
      <c r="O18" s="9"/>
      <c r="P18" t="s">
        <v>231</v>
      </c>
    </row>
    <row r="19" spans="1:17" ht="13.8">
      <c r="A19" s="15">
        <v>16</v>
      </c>
      <c r="B19" s="19"/>
      <c r="C19" s="21"/>
      <c r="D19" s="84"/>
      <c r="E19" s="21"/>
      <c r="F19" s="21"/>
      <c r="G19" s="21"/>
      <c r="H19" s="21"/>
      <c r="I19" s="12"/>
      <c r="J19" s="12"/>
      <c r="K19" s="11"/>
      <c r="L19" s="21"/>
      <c r="M19" s="34"/>
      <c r="O19" s="9"/>
    </row>
    <row r="20" spans="1:17" ht="27.6">
      <c r="A20" s="14">
        <v>17</v>
      </c>
      <c r="B20" s="19"/>
      <c r="C20" s="21"/>
      <c r="D20" s="84" t="s">
        <v>83</v>
      </c>
      <c r="E20" s="21" t="s">
        <v>101</v>
      </c>
      <c r="F20" s="21" t="s">
        <v>111</v>
      </c>
      <c r="G20" s="21"/>
      <c r="H20" s="21" t="s">
        <v>135</v>
      </c>
      <c r="I20" s="12">
        <v>400</v>
      </c>
      <c r="J20" s="12">
        <v>0.75</v>
      </c>
      <c r="K20" s="11">
        <f t="shared" ref="K20:K30" si="0">J20*0.9</f>
        <v>0.67500000000000004</v>
      </c>
      <c r="L20" s="21" t="s">
        <v>24</v>
      </c>
      <c r="M20" s="36" t="s">
        <v>250</v>
      </c>
      <c r="O20" s="9"/>
      <c r="P20" t="s">
        <v>229</v>
      </c>
      <c r="Q20" t="s">
        <v>232</v>
      </c>
    </row>
    <row r="21" spans="1:17" ht="13.8">
      <c r="A21" s="15">
        <v>18</v>
      </c>
      <c r="B21" s="19"/>
      <c r="C21" s="21"/>
      <c r="D21" s="84" t="s">
        <v>83</v>
      </c>
      <c r="E21" s="21" t="s">
        <v>102</v>
      </c>
      <c r="F21" s="21" t="s">
        <v>112</v>
      </c>
      <c r="G21" s="21"/>
      <c r="H21" s="21" t="s">
        <v>135</v>
      </c>
      <c r="I21" s="12">
        <v>400</v>
      </c>
      <c r="J21" s="12">
        <v>1.8</v>
      </c>
      <c r="K21" s="11">
        <f t="shared" si="0"/>
        <v>1.62</v>
      </c>
      <c r="L21" s="21" t="s">
        <v>33</v>
      </c>
      <c r="M21" s="34"/>
      <c r="O21" s="9"/>
      <c r="P21" t="s">
        <v>229</v>
      </c>
      <c r="Q21" t="s">
        <v>232</v>
      </c>
    </row>
    <row r="22" spans="1:17" ht="13.8">
      <c r="A22" s="14">
        <v>19</v>
      </c>
      <c r="B22" s="19"/>
      <c r="C22" s="21" t="s">
        <v>132</v>
      </c>
      <c r="D22" s="84" t="s">
        <v>83</v>
      </c>
      <c r="E22" s="21" t="s">
        <v>103</v>
      </c>
      <c r="F22" s="21" t="s">
        <v>113</v>
      </c>
      <c r="G22" s="21" t="s">
        <v>122</v>
      </c>
      <c r="H22" s="21" t="s">
        <v>135</v>
      </c>
      <c r="I22" s="12">
        <v>400</v>
      </c>
      <c r="J22" s="12">
        <v>1.5</v>
      </c>
      <c r="K22" s="11">
        <f t="shared" si="0"/>
        <v>1.35</v>
      </c>
      <c r="L22" s="21"/>
      <c r="M22" s="34"/>
      <c r="O22" s="9" t="s">
        <v>33</v>
      </c>
      <c r="P22" t="s">
        <v>233</v>
      </c>
    </row>
    <row r="23" spans="1:17" ht="13.8">
      <c r="A23" s="15">
        <v>20</v>
      </c>
      <c r="B23" s="19"/>
      <c r="C23" s="21" t="s">
        <v>133</v>
      </c>
      <c r="D23" s="84" t="s">
        <v>83</v>
      </c>
      <c r="E23" s="21" t="s">
        <v>104</v>
      </c>
      <c r="F23" s="21" t="s">
        <v>114</v>
      </c>
      <c r="G23" s="21" t="s">
        <v>123</v>
      </c>
      <c r="H23" s="21" t="s">
        <v>135</v>
      </c>
      <c r="I23" s="12">
        <v>230</v>
      </c>
      <c r="J23" s="12">
        <v>1.4</v>
      </c>
      <c r="K23" s="11">
        <f t="shared" si="0"/>
        <v>1.26</v>
      </c>
      <c r="L23" s="21"/>
      <c r="M23" s="34"/>
      <c r="O23" s="9" t="s">
        <v>33</v>
      </c>
      <c r="P23" t="s">
        <v>233</v>
      </c>
    </row>
    <row r="24" spans="1:17" ht="13.8">
      <c r="A24" s="15">
        <v>26</v>
      </c>
      <c r="B24" s="19"/>
      <c r="C24" s="21"/>
      <c r="D24" s="84" t="s">
        <v>83</v>
      </c>
      <c r="E24" s="21" t="s">
        <v>241</v>
      </c>
      <c r="F24" s="21" t="s">
        <v>242</v>
      </c>
      <c r="G24" s="21"/>
      <c r="H24" s="21" t="s">
        <v>135</v>
      </c>
      <c r="I24" s="12">
        <v>400</v>
      </c>
      <c r="J24" s="12">
        <v>1.5</v>
      </c>
      <c r="K24" s="11">
        <f t="shared" si="0"/>
        <v>1.35</v>
      </c>
      <c r="L24" s="21"/>
      <c r="M24" s="34"/>
      <c r="O24" s="9" t="s">
        <v>33</v>
      </c>
    </row>
    <row r="25" spans="1:17" ht="13.8">
      <c r="A25" s="14">
        <v>21</v>
      </c>
      <c r="B25" s="19"/>
      <c r="C25" s="21"/>
      <c r="D25" s="84" t="s">
        <v>83</v>
      </c>
      <c r="E25" s="21" t="s">
        <v>35</v>
      </c>
      <c r="F25" s="21" t="s">
        <v>115</v>
      </c>
      <c r="G25" s="21" t="s">
        <v>124</v>
      </c>
      <c r="H25" s="21" t="s">
        <v>135</v>
      </c>
      <c r="I25" s="12">
        <v>400</v>
      </c>
      <c r="J25" s="12">
        <v>3</v>
      </c>
      <c r="K25" s="11">
        <f t="shared" si="0"/>
        <v>2.7</v>
      </c>
      <c r="L25" s="21" t="s">
        <v>33</v>
      </c>
      <c r="M25" s="34"/>
      <c r="O25" s="9"/>
      <c r="P25" t="s">
        <v>229</v>
      </c>
      <c r="Q25" t="s">
        <v>232</v>
      </c>
    </row>
    <row r="26" spans="1:17" ht="13.8">
      <c r="A26" s="15">
        <v>22</v>
      </c>
      <c r="B26" s="19"/>
      <c r="C26" s="21"/>
      <c r="D26" s="84" t="s">
        <v>83</v>
      </c>
      <c r="E26" s="21" t="s">
        <v>63</v>
      </c>
      <c r="F26" s="21" t="s">
        <v>116</v>
      </c>
      <c r="G26" s="21" t="s">
        <v>45</v>
      </c>
      <c r="H26" s="21" t="s">
        <v>135</v>
      </c>
      <c r="I26" s="12">
        <v>400</v>
      </c>
      <c r="J26" s="85">
        <v>3</v>
      </c>
      <c r="K26" s="11">
        <f t="shared" si="0"/>
        <v>2.7</v>
      </c>
      <c r="L26" s="21" t="s">
        <v>33</v>
      </c>
      <c r="M26" s="34"/>
      <c r="O26" s="9"/>
      <c r="P26" t="s">
        <v>229</v>
      </c>
      <c r="Q26" t="s">
        <v>232</v>
      </c>
    </row>
    <row r="27" spans="1:17" ht="13.8">
      <c r="A27" s="14">
        <v>23</v>
      </c>
      <c r="B27" s="19"/>
      <c r="C27" s="21"/>
      <c r="D27" s="84" t="s">
        <v>83</v>
      </c>
      <c r="E27" s="21" t="s">
        <v>65</v>
      </c>
      <c r="F27" s="21" t="s">
        <v>234</v>
      </c>
      <c r="G27" s="21" t="s">
        <v>125</v>
      </c>
      <c r="H27" s="21" t="s">
        <v>135</v>
      </c>
      <c r="I27" s="12">
        <v>400</v>
      </c>
      <c r="J27" s="12">
        <v>0.75</v>
      </c>
      <c r="K27" s="11">
        <f t="shared" si="0"/>
        <v>0.67500000000000004</v>
      </c>
      <c r="L27" s="21" t="s">
        <v>33</v>
      </c>
      <c r="M27" s="34"/>
      <c r="O27" s="9"/>
      <c r="P27" t="s">
        <v>231</v>
      </c>
    </row>
    <row r="28" spans="1:17" ht="13.8">
      <c r="A28" s="15"/>
      <c r="B28" s="19"/>
      <c r="C28" s="21"/>
      <c r="D28" s="84" t="s">
        <v>83</v>
      </c>
      <c r="E28" s="21" t="s">
        <v>243</v>
      </c>
      <c r="F28" s="21" t="s">
        <v>244</v>
      </c>
      <c r="G28" s="21"/>
      <c r="H28" s="21" t="s">
        <v>135</v>
      </c>
      <c r="I28" s="12">
        <v>400</v>
      </c>
      <c r="J28" s="12">
        <v>2.5</v>
      </c>
      <c r="K28" s="11">
        <f t="shared" si="0"/>
        <v>2.25</v>
      </c>
      <c r="L28" s="21"/>
      <c r="M28" s="34"/>
      <c r="O28" s="9"/>
    </row>
    <row r="29" spans="1:17" ht="13.8">
      <c r="A29" s="15">
        <v>24</v>
      </c>
      <c r="B29" s="19"/>
      <c r="C29" s="21"/>
      <c r="D29" s="84" t="s">
        <v>83</v>
      </c>
      <c r="E29" s="21" t="s">
        <v>37</v>
      </c>
      <c r="F29" s="21" t="s">
        <v>117</v>
      </c>
      <c r="G29" s="21" t="s">
        <v>124</v>
      </c>
      <c r="H29" s="21" t="s">
        <v>135</v>
      </c>
      <c r="I29" s="12">
        <v>400</v>
      </c>
      <c r="J29" s="12">
        <v>3</v>
      </c>
      <c r="K29" s="11">
        <f t="shared" si="0"/>
        <v>2.7</v>
      </c>
      <c r="L29" s="21" t="s">
        <v>33</v>
      </c>
      <c r="M29" s="34"/>
      <c r="O29" s="9"/>
      <c r="P29" t="s">
        <v>229</v>
      </c>
      <c r="Q29" t="s">
        <v>232</v>
      </c>
    </row>
    <row r="30" spans="1:17" ht="13.8">
      <c r="A30" s="14">
        <v>25</v>
      </c>
      <c r="B30" s="19"/>
      <c r="C30" s="21"/>
      <c r="D30" s="84" t="s">
        <v>83</v>
      </c>
      <c r="E30" s="21" t="s">
        <v>36</v>
      </c>
      <c r="F30" s="21" t="s">
        <v>64</v>
      </c>
      <c r="G30" s="21" t="s">
        <v>45</v>
      </c>
      <c r="H30" s="21" t="s">
        <v>135</v>
      </c>
      <c r="I30" s="12">
        <v>400</v>
      </c>
      <c r="J30" s="85">
        <v>15</v>
      </c>
      <c r="K30" s="11">
        <f t="shared" si="0"/>
        <v>13.5</v>
      </c>
      <c r="L30" s="35" t="s">
        <v>24</v>
      </c>
      <c r="M30" s="87" t="s">
        <v>79</v>
      </c>
      <c r="O30" s="9"/>
      <c r="P30" t="s">
        <v>229</v>
      </c>
      <c r="Q30" t="s">
        <v>232</v>
      </c>
    </row>
    <row r="31" spans="1:17" ht="13.8">
      <c r="A31" s="15"/>
      <c r="B31" s="19"/>
      <c r="C31" s="21"/>
      <c r="D31" s="84"/>
      <c r="E31" s="21"/>
      <c r="F31" s="21"/>
      <c r="G31" s="21"/>
      <c r="H31" s="21"/>
      <c r="I31" s="12"/>
      <c r="J31" s="12"/>
      <c r="K31" s="11"/>
      <c r="L31" s="21"/>
      <c r="M31" s="34"/>
      <c r="O31" s="9"/>
    </row>
    <row r="32" spans="1:17" ht="13.8">
      <c r="A32" s="14">
        <v>27</v>
      </c>
      <c r="B32" s="19"/>
      <c r="C32" s="21"/>
      <c r="D32" s="84" t="s">
        <v>105</v>
      </c>
      <c r="E32" s="21" t="s">
        <v>106</v>
      </c>
      <c r="F32" s="21" t="s">
        <v>118</v>
      </c>
      <c r="G32" s="21" t="s">
        <v>126</v>
      </c>
      <c r="H32" s="37" t="s">
        <v>175</v>
      </c>
      <c r="I32" s="12">
        <v>400</v>
      </c>
      <c r="J32" s="12">
        <v>5.5</v>
      </c>
      <c r="K32" s="11">
        <f>J32*0.9</f>
        <v>4.95</v>
      </c>
      <c r="L32" s="35" t="s">
        <v>24</v>
      </c>
      <c r="M32" s="34" t="s">
        <v>79</v>
      </c>
      <c r="O32" s="9" t="s">
        <v>175</v>
      </c>
    </row>
    <row r="33" spans="1:17" ht="13.8">
      <c r="A33" s="15">
        <v>28</v>
      </c>
      <c r="B33" s="19"/>
      <c r="C33" s="21"/>
      <c r="D33" s="84" t="s">
        <v>107</v>
      </c>
      <c r="E33" s="21" t="s">
        <v>23</v>
      </c>
      <c r="F33" s="21" t="s">
        <v>119</v>
      </c>
      <c r="G33" s="21" t="s">
        <v>127</v>
      </c>
      <c r="H33" s="37" t="s">
        <v>175</v>
      </c>
      <c r="I33" s="12">
        <v>400</v>
      </c>
      <c r="J33" s="12">
        <v>4</v>
      </c>
      <c r="K33" s="11">
        <f>J33*0.9</f>
        <v>3.6</v>
      </c>
      <c r="L33" s="35" t="s">
        <v>24</v>
      </c>
      <c r="M33" s="34" t="s">
        <v>79</v>
      </c>
      <c r="O33" s="9" t="s">
        <v>175</v>
      </c>
    </row>
    <row r="34" spans="1:17" ht="13.8">
      <c r="A34" s="14">
        <v>29</v>
      </c>
      <c r="B34" s="19"/>
      <c r="C34" s="21"/>
      <c r="D34" s="84" t="s">
        <v>108</v>
      </c>
      <c r="E34" s="21" t="s">
        <v>38</v>
      </c>
      <c r="F34" s="21" t="s">
        <v>120</v>
      </c>
      <c r="G34" s="21" t="s">
        <v>128</v>
      </c>
      <c r="H34" s="37" t="s">
        <v>159</v>
      </c>
      <c r="I34" s="12">
        <v>400</v>
      </c>
      <c r="J34" s="12">
        <v>11</v>
      </c>
      <c r="K34" s="11">
        <f>J34*0.9</f>
        <v>9.9</v>
      </c>
      <c r="L34" s="21" t="s">
        <v>33</v>
      </c>
      <c r="M34" s="34" t="s">
        <v>160</v>
      </c>
      <c r="O34" s="9" t="s">
        <v>159</v>
      </c>
      <c r="P34" t="s">
        <v>235</v>
      </c>
    </row>
    <row r="35" spans="1:17" ht="13.8">
      <c r="A35" s="15">
        <v>30</v>
      </c>
      <c r="B35" s="19"/>
      <c r="C35" s="21"/>
      <c r="D35" s="84" t="s">
        <v>108</v>
      </c>
      <c r="E35" s="21" t="s">
        <v>39</v>
      </c>
      <c r="F35" s="21" t="s">
        <v>120</v>
      </c>
      <c r="G35" s="21" t="s">
        <v>129</v>
      </c>
      <c r="H35" s="37" t="s">
        <v>159</v>
      </c>
      <c r="I35" s="12">
        <v>400</v>
      </c>
      <c r="J35" s="12">
        <v>11</v>
      </c>
      <c r="K35" s="11">
        <f>J35*0.9</f>
        <v>9.9</v>
      </c>
      <c r="L35" s="21" t="s">
        <v>33</v>
      </c>
      <c r="M35" s="34" t="s">
        <v>160</v>
      </c>
      <c r="O35" s="9" t="s">
        <v>159</v>
      </c>
      <c r="P35" t="s">
        <v>235</v>
      </c>
    </row>
    <row r="36" spans="1:17" ht="13.8">
      <c r="A36" s="14">
        <v>31</v>
      </c>
      <c r="B36" s="19"/>
      <c r="C36" s="21"/>
      <c r="D36" s="84"/>
      <c r="E36" s="21"/>
      <c r="F36" s="21"/>
      <c r="G36" s="21"/>
      <c r="H36" s="37"/>
      <c r="I36" s="12"/>
      <c r="J36" s="12"/>
      <c r="K36" s="11"/>
      <c r="L36" s="21"/>
      <c r="M36" s="34"/>
      <c r="O36" s="9"/>
    </row>
    <row r="37" spans="1:17" ht="27.6">
      <c r="A37" s="15">
        <v>32</v>
      </c>
      <c r="B37" s="19"/>
      <c r="C37" s="21"/>
      <c r="D37" s="84" t="s">
        <v>83</v>
      </c>
      <c r="E37" s="21" t="s">
        <v>77</v>
      </c>
      <c r="F37" s="21" t="s">
        <v>131</v>
      </c>
      <c r="G37" s="23" t="s">
        <v>130</v>
      </c>
      <c r="H37" s="21" t="s">
        <v>135</v>
      </c>
      <c r="I37" s="12">
        <v>400</v>
      </c>
      <c r="J37" s="12">
        <v>4</v>
      </c>
      <c r="K37" s="11">
        <f>J37*0.9</f>
        <v>3.6</v>
      </c>
      <c r="L37" s="21" t="s">
        <v>33</v>
      </c>
      <c r="M37" s="34"/>
      <c r="O37" s="9"/>
      <c r="P37" t="s">
        <v>233</v>
      </c>
    </row>
    <row r="38" spans="1:17" ht="13.8">
      <c r="A38" s="14">
        <v>33</v>
      </c>
      <c r="B38" s="19"/>
      <c r="C38" s="21"/>
      <c r="D38" s="84" t="s">
        <v>109</v>
      </c>
      <c r="E38" s="21" t="s">
        <v>110</v>
      </c>
      <c r="F38" s="21" t="s">
        <v>121</v>
      </c>
      <c r="G38" s="21" t="s">
        <v>110</v>
      </c>
      <c r="H38" s="21" t="s">
        <v>135</v>
      </c>
      <c r="I38" s="12">
        <v>400</v>
      </c>
      <c r="J38" s="12">
        <v>2.2000000000000002</v>
      </c>
      <c r="K38" s="11">
        <f>J38*0.9</f>
        <v>1.9800000000000002</v>
      </c>
      <c r="L38" s="21" t="s">
        <v>33</v>
      </c>
      <c r="M38" s="29" t="s">
        <v>236</v>
      </c>
      <c r="O38" s="9"/>
      <c r="P38" t="s">
        <v>229</v>
      </c>
      <c r="Q38" t="s">
        <v>237</v>
      </c>
    </row>
    <row r="39" spans="1:17" ht="13.8">
      <c r="A39" s="15">
        <v>34</v>
      </c>
      <c r="B39" s="19"/>
      <c r="C39" s="21"/>
      <c r="D39" s="84"/>
      <c r="E39" s="21"/>
      <c r="F39" s="21"/>
      <c r="G39" s="21"/>
      <c r="H39" s="21"/>
      <c r="I39" s="12"/>
      <c r="J39" s="12"/>
      <c r="K39" s="11"/>
      <c r="L39" s="21"/>
      <c r="M39" s="34"/>
      <c r="O39" s="9"/>
    </row>
    <row r="40" spans="1:17" ht="13.8">
      <c r="A40" s="14">
        <v>35</v>
      </c>
      <c r="B40" s="19"/>
      <c r="C40" s="21"/>
      <c r="D40" s="84" t="s">
        <v>263</v>
      </c>
      <c r="E40" s="21" t="s">
        <v>137</v>
      </c>
      <c r="F40" s="21" t="s">
        <v>254</v>
      </c>
      <c r="G40" s="21"/>
      <c r="H40" s="21" t="s">
        <v>135</v>
      </c>
      <c r="I40" s="12">
        <v>400</v>
      </c>
      <c r="J40" s="12">
        <v>2.75</v>
      </c>
      <c r="K40" s="11">
        <f t="shared" ref="K40:K49" si="1">J40*0.9</f>
        <v>2.4750000000000001</v>
      </c>
      <c r="L40" s="21" t="s">
        <v>138</v>
      </c>
      <c r="M40" s="21" t="s">
        <v>139</v>
      </c>
      <c r="O40" s="9" t="s">
        <v>138</v>
      </c>
      <c r="P40" t="s">
        <v>233</v>
      </c>
    </row>
    <row r="41" spans="1:17" ht="13.8">
      <c r="A41" s="15">
        <v>36</v>
      </c>
      <c r="B41" s="19"/>
      <c r="C41" s="21"/>
      <c r="D41" s="84" t="s">
        <v>263</v>
      </c>
      <c r="E41" s="21" t="s">
        <v>140</v>
      </c>
      <c r="F41" s="21" t="s">
        <v>252</v>
      </c>
      <c r="G41" s="21"/>
      <c r="H41" s="21" t="s">
        <v>135</v>
      </c>
      <c r="I41" s="12">
        <v>400</v>
      </c>
      <c r="J41" s="12">
        <v>2.75</v>
      </c>
      <c r="K41" s="11">
        <f t="shared" si="1"/>
        <v>2.4750000000000001</v>
      </c>
      <c r="L41" s="21" t="s">
        <v>138</v>
      </c>
      <c r="M41" s="21" t="s">
        <v>139</v>
      </c>
      <c r="O41" s="9" t="s">
        <v>138</v>
      </c>
      <c r="P41" t="s">
        <v>233</v>
      </c>
    </row>
    <row r="42" spans="1:17" ht="13.8">
      <c r="A42" s="14">
        <v>37</v>
      </c>
      <c r="B42" s="19"/>
      <c r="C42" s="21"/>
      <c r="D42" s="84" t="s">
        <v>263</v>
      </c>
      <c r="E42" s="21" t="s">
        <v>140</v>
      </c>
      <c r="F42" s="21" t="s">
        <v>253</v>
      </c>
      <c r="G42" s="21"/>
      <c r="H42" s="21" t="s">
        <v>135</v>
      </c>
      <c r="I42" s="12">
        <v>400</v>
      </c>
      <c r="J42" s="12">
        <v>2.75</v>
      </c>
      <c r="K42" s="11">
        <f t="shared" si="1"/>
        <v>2.4750000000000001</v>
      </c>
      <c r="L42" s="21" t="s">
        <v>138</v>
      </c>
      <c r="M42" s="21" t="s">
        <v>139</v>
      </c>
      <c r="O42" s="9" t="s">
        <v>138</v>
      </c>
      <c r="P42" t="s">
        <v>233</v>
      </c>
    </row>
    <row r="43" spans="1:17" ht="13.8">
      <c r="A43" s="15">
        <v>38</v>
      </c>
      <c r="B43" s="19"/>
      <c r="C43" s="21"/>
      <c r="D43" s="84" t="s">
        <v>263</v>
      </c>
      <c r="E43" s="21" t="s">
        <v>141</v>
      </c>
      <c r="F43" s="21" t="s">
        <v>255</v>
      </c>
      <c r="G43" s="21"/>
      <c r="H43" s="21" t="s">
        <v>135</v>
      </c>
      <c r="I43" s="12">
        <v>400</v>
      </c>
      <c r="J43" s="12">
        <v>3.05</v>
      </c>
      <c r="K43" s="11">
        <f t="shared" si="1"/>
        <v>2.7450000000000001</v>
      </c>
      <c r="L43" s="21" t="s">
        <v>138</v>
      </c>
      <c r="M43" s="21" t="s">
        <v>143</v>
      </c>
      <c r="O43" s="9" t="s">
        <v>138</v>
      </c>
      <c r="P43" t="s">
        <v>233</v>
      </c>
    </row>
    <row r="44" spans="1:17" ht="13.5" customHeight="1">
      <c r="A44" s="15">
        <v>39</v>
      </c>
      <c r="B44" s="19"/>
      <c r="C44" s="21"/>
      <c r="D44" s="84" t="s">
        <v>263</v>
      </c>
      <c r="E44" s="21" t="s">
        <v>142</v>
      </c>
      <c r="F44" s="21" t="s">
        <v>256</v>
      </c>
      <c r="G44" s="21"/>
      <c r="H44" s="21" t="s">
        <v>135</v>
      </c>
      <c r="I44" s="12">
        <v>400</v>
      </c>
      <c r="J44" s="12">
        <v>4</v>
      </c>
      <c r="K44" s="11">
        <f t="shared" si="1"/>
        <v>3.6</v>
      </c>
      <c r="L44" s="35" t="s">
        <v>24</v>
      </c>
      <c r="M44" s="21" t="s">
        <v>248</v>
      </c>
      <c r="O44" s="9"/>
    </row>
    <row r="45" spans="1:17" ht="13.8">
      <c r="A45" s="14">
        <v>40</v>
      </c>
      <c r="B45" s="19"/>
      <c r="C45" s="21"/>
      <c r="D45" s="84"/>
      <c r="E45" s="21" t="s">
        <v>144</v>
      </c>
      <c r="F45" s="21" t="s">
        <v>257</v>
      </c>
      <c r="G45" s="21"/>
      <c r="H45" s="21" t="s">
        <v>135</v>
      </c>
      <c r="I45" s="12">
        <v>400</v>
      </c>
      <c r="J45" s="12">
        <v>0.37</v>
      </c>
      <c r="K45" s="11">
        <f t="shared" si="1"/>
        <v>0.33300000000000002</v>
      </c>
      <c r="L45" s="21"/>
      <c r="M45" s="21" t="s">
        <v>251</v>
      </c>
      <c r="O45" s="9"/>
      <c r="P45" t="s">
        <v>232</v>
      </c>
    </row>
    <row r="46" spans="1:17" ht="13.8">
      <c r="A46" s="15">
        <v>41</v>
      </c>
      <c r="B46" s="19"/>
      <c r="C46" s="21"/>
      <c r="D46" s="84"/>
      <c r="E46" s="21" t="s">
        <v>145</v>
      </c>
      <c r="F46" s="21" t="s">
        <v>258</v>
      </c>
      <c r="G46" s="21"/>
      <c r="H46" s="21" t="s">
        <v>135</v>
      </c>
      <c r="I46" s="12">
        <v>400</v>
      </c>
      <c r="J46" s="12">
        <v>0.37</v>
      </c>
      <c r="K46" s="11">
        <f t="shared" si="1"/>
        <v>0.33300000000000002</v>
      </c>
      <c r="L46" s="21"/>
      <c r="M46" s="21" t="s">
        <v>251</v>
      </c>
      <c r="O46" s="9"/>
      <c r="P46" t="s">
        <v>232</v>
      </c>
    </row>
    <row r="47" spans="1:17" ht="13.8">
      <c r="A47" s="15">
        <v>42</v>
      </c>
      <c r="B47" s="19"/>
      <c r="C47" s="21"/>
      <c r="D47" s="84" t="s">
        <v>245</v>
      </c>
      <c r="E47" s="21" t="s">
        <v>238</v>
      </c>
      <c r="F47" s="21" t="s">
        <v>259</v>
      </c>
      <c r="G47" s="21"/>
      <c r="H47" s="21" t="s">
        <v>135</v>
      </c>
      <c r="I47" s="12">
        <v>400</v>
      </c>
      <c r="J47" s="12">
        <v>0.37</v>
      </c>
      <c r="K47" s="11">
        <f t="shared" si="1"/>
        <v>0.33300000000000002</v>
      </c>
      <c r="L47" s="21"/>
      <c r="M47" s="21" t="s">
        <v>251</v>
      </c>
      <c r="O47" s="9"/>
      <c r="P47" t="s">
        <v>232</v>
      </c>
    </row>
    <row r="48" spans="1:17" ht="13.8">
      <c r="A48" s="14">
        <v>43</v>
      </c>
      <c r="B48" s="19"/>
      <c r="C48" s="21"/>
      <c r="D48" s="84"/>
      <c r="E48" s="21" t="s">
        <v>161</v>
      </c>
      <c r="F48" s="21" t="s">
        <v>261</v>
      </c>
      <c r="G48" s="21"/>
      <c r="H48" s="21" t="s">
        <v>135</v>
      </c>
      <c r="I48" s="12">
        <v>400</v>
      </c>
      <c r="J48" s="12">
        <v>0.37</v>
      </c>
      <c r="K48" s="11">
        <f t="shared" si="1"/>
        <v>0.33300000000000002</v>
      </c>
      <c r="L48" s="21"/>
      <c r="M48" s="21" t="s">
        <v>260</v>
      </c>
      <c r="O48" s="9">
        <v>0.33</v>
      </c>
      <c r="P48" t="s">
        <v>232</v>
      </c>
    </row>
    <row r="49" spans="1:16" ht="13.8">
      <c r="A49" s="15">
        <v>44</v>
      </c>
      <c r="B49" s="19"/>
      <c r="C49" s="21"/>
      <c r="D49" s="84"/>
      <c r="E49" s="21" t="s">
        <v>162</v>
      </c>
      <c r="F49" s="21" t="s">
        <v>262</v>
      </c>
      <c r="G49" s="21"/>
      <c r="H49" s="21" t="s">
        <v>135</v>
      </c>
      <c r="I49" s="12">
        <v>400</v>
      </c>
      <c r="J49" s="12">
        <v>0.37</v>
      </c>
      <c r="K49" s="11">
        <f t="shared" si="1"/>
        <v>0.33300000000000002</v>
      </c>
      <c r="L49" s="21"/>
      <c r="M49" s="21" t="s">
        <v>260</v>
      </c>
      <c r="O49" s="9">
        <v>0.33</v>
      </c>
      <c r="P49" t="s">
        <v>232</v>
      </c>
    </row>
    <row r="50" spans="1:16" ht="13.8">
      <c r="A50" s="15">
        <v>45</v>
      </c>
      <c r="B50" s="19"/>
      <c r="C50" s="21"/>
      <c r="D50" s="84"/>
      <c r="E50" s="21"/>
      <c r="F50" s="21"/>
      <c r="G50" s="21"/>
      <c r="H50" s="21"/>
      <c r="I50" s="12"/>
      <c r="J50" s="12"/>
      <c r="K50" s="11"/>
      <c r="L50" s="21"/>
      <c r="M50" s="34"/>
      <c r="O50" s="9"/>
    </row>
    <row r="51" spans="1:16" ht="13.8">
      <c r="A51" s="14">
        <v>46</v>
      </c>
      <c r="B51" s="19"/>
      <c r="C51" s="21"/>
      <c r="D51" s="84"/>
      <c r="E51" s="21" t="s">
        <v>146</v>
      </c>
      <c r="F51" s="21" t="s">
        <v>147</v>
      </c>
      <c r="G51" s="21"/>
      <c r="H51" s="21" t="s">
        <v>135</v>
      </c>
      <c r="I51" s="12">
        <v>230</v>
      </c>
      <c r="J51" s="12">
        <v>1.3</v>
      </c>
      <c r="K51" s="11">
        <f t="shared" ref="K51:K61" si="2">J51*0.9</f>
        <v>1.1700000000000002</v>
      </c>
      <c r="L51" s="21"/>
      <c r="M51" s="21" t="s">
        <v>148</v>
      </c>
      <c r="O51" s="9" t="s">
        <v>33</v>
      </c>
      <c r="P51" t="s">
        <v>239</v>
      </c>
    </row>
    <row r="52" spans="1:16" ht="13.8">
      <c r="A52" s="15">
        <v>47</v>
      </c>
      <c r="B52" s="19"/>
      <c r="C52" s="21"/>
      <c r="D52" s="84"/>
      <c r="E52" s="21" t="s">
        <v>149</v>
      </c>
      <c r="F52" s="21" t="s">
        <v>147</v>
      </c>
      <c r="G52" s="21"/>
      <c r="H52" s="21" t="s">
        <v>135</v>
      </c>
      <c r="I52" s="12">
        <v>230</v>
      </c>
      <c r="J52" s="12">
        <v>0.15</v>
      </c>
      <c r="K52" s="11">
        <f t="shared" si="2"/>
        <v>0.13500000000000001</v>
      </c>
      <c r="L52" s="21"/>
      <c r="M52" s="21" t="s">
        <v>157</v>
      </c>
      <c r="O52" s="9" t="s">
        <v>33</v>
      </c>
      <c r="P52" t="s">
        <v>239</v>
      </c>
    </row>
    <row r="53" spans="1:16" ht="13.8">
      <c r="A53" s="15">
        <v>48</v>
      </c>
      <c r="B53" s="19"/>
      <c r="C53" s="21"/>
      <c r="D53" s="84"/>
      <c r="E53" s="21" t="s">
        <v>150</v>
      </c>
      <c r="F53" s="21" t="s">
        <v>147</v>
      </c>
      <c r="G53" s="21"/>
      <c r="H53" s="21" t="s">
        <v>135</v>
      </c>
      <c r="I53" s="12">
        <v>230</v>
      </c>
      <c r="J53" s="12">
        <v>1.4</v>
      </c>
      <c r="K53" s="11">
        <f t="shared" si="2"/>
        <v>1.26</v>
      </c>
      <c r="L53" s="21"/>
      <c r="M53" s="21" t="s">
        <v>157</v>
      </c>
      <c r="O53" s="9" t="s">
        <v>33</v>
      </c>
      <c r="P53" t="s">
        <v>239</v>
      </c>
    </row>
    <row r="54" spans="1:16" ht="13.8">
      <c r="A54" s="14">
        <v>49</v>
      </c>
      <c r="B54" s="19"/>
      <c r="C54" s="21"/>
      <c r="D54" s="84"/>
      <c r="E54" s="21" t="s">
        <v>151</v>
      </c>
      <c r="F54" s="21" t="s">
        <v>147</v>
      </c>
      <c r="G54" s="21"/>
      <c r="H54" s="21" t="s">
        <v>135</v>
      </c>
      <c r="I54" s="12">
        <v>230</v>
      </c>
      <c r="J54" s="12">
        <v>0.55000000000000004</v>
      </c>
      <c r="K54" s="11">
        <f t="shared" si="2"/>
        <v>0.49500000000000005</v>
      </c>
      <c r="L54" s="21"/>
      <c r="M54" s="21" t="s">
        <v>157</v>
      </c>
      <c r="O54" s="9" t="s">
        <v>33</v>
      </c>
      <c r="P54" t="s">
        <v>239</v>
      </c>
    </row>
    <row r="55" spans="1:16" ht="13.8">
      <c r="A55" s="15">
        <v>50</v>
      </c>
      <c r="B55" s="19"/>
      <c r="C55" s="21"/>
      <c r="D55" s="84"/>
      <c r="E55" s="21" t="s">
        <v>152</v>
      </c>
      <c r="F55" s="21" t="s">
        <v>147</v>
      </c>
      <c r="G55" s="21"/>
      <c r="H55" s="21" t="s">
        <v>135</v>
      </c>
      <c r="I55" s="12">
        <v>230</v>
      </c>
      <c r="J55" s="12">
        <v>0.63</v>
      </c>
      <c r="K55" s="11">
        <f t="shared" si="2"/>
        <v>0.56700000000000006</v>
      </c>
      <c r="L55" s="21"/>
      <c r="M55" s="21" t="s">
        <v>157</v>
      </c>
      <c r="O55" s="9" t="s">
        <v>33</v>
      </c>
      <c r="P55" t="s">
        <v>239</v>
      </c>
    </row>
    <row r="56" spans="1:16" ht="13.8">
      <c r="A56" s="15">
        <v>51</v>
      </c>
      <c r="B56" s="19"/>
      <c r="C56" s="21"/>
      <c r="D56" s="84"/>
      <c r="E56" s="21" t="s">
        <v>153</v>
      </c>
      <c r="F56" s="21" t="s">
        <v>147</v>
      </c>
      <c r="G56" s="21"/>
      <c r="H56" s="21" t="s">
        <v>135</v>
      </c>
      <c r="I56" s="12">
        <v>230</v>
      </c>
      <c r="J56" s="12">
        <v>1.6</v>
      </c>
      <c r="K56" s="11">
        <f t="shared" si="2"/>
        <v>1.4400000000000002</v>
      </c>
      <c r="L56" s="21"/>
      <c r="M56" s="21" t="s">
        <v>148</v>
      </c>
      <c r="O56" s="9" t="s">
        <v>33</v>
      </c>
      <c r="P56" t="s">
        <v>239</v>
      </c>
    </row>
    <row r="57" spans="1:16" ht="13.8">
      <c r="A57" s="14">
        <v>52</v>
      </c>
      <c r="B57" s="19"/>
      <c r="C57" s="21"/>
      <c r="D57" s="84"/>
      <c r="E57" s="21" t="s">
        <v>154</v>
      </c>
      <c r="F57" s="21" t="s">
        <v>147</v>
      </c>
      <c r="G57" s="21"/>
      <c r="H57" s="21" t="s">
        <v>135</v>
      </c>
      <c r="I57" s="12">
        <v>230</v>
      </c>
      <c r="J57" s="12">
        <v>1.6</v>
      </c>
      <c r="K57" s="11">
        <f t="shared" si="2"/>
        <v>1.4400000000000002</v>
      </c>
      <c r="L57" s="21"/>
      <c r="M57" s="21" t="s">
        <v>148</v>
      </c>
      <c r="O57" s="9" t="s">
        <v>33</v>
      </c>
      <c r="P57" t="s">
        <v>239</v>
      </c>
    </row>
    <row r="58" spans="1:16" ht="13.8">
      <c r="A58" s="15">
        <v>53</v>
      </c>
      <c r="B58" s="19"/>
      <c r="C58" s="21"/>
      <c r="D58" s="84"/>
      <c r="E58" s="21" t="s">
        <v>155</v>
      </c>
      <c r="F58" s="21" t="s">
        <v>147</v>
      </c>
      <c r="G58" s="21"/>
      <c r="H58" s="21" t="s">
        <v>135</v>
      </c>
      <c r="I58" s="12">
        <v>230</v>
      </c>
      <c r="J58" s="12">
        <v>1.9</v>
      </c>
      <c r="K58" s="11">
        <f t="shared" si="2"/>
        <v>1.71</v>
      </c>
      <c r="L58" s="21"/>
      <c r="M58" s="21" t="s">
        <v>157</v>
      </c>
      <c r="O58" s="9" t="s">
        <v>33</v>
      </c>
      <c r="P58" t="s">
        <v>239</v>
      </c>
    </row>
    <row r="59" spans="1:16" ht="13.8">
      <c r="A59" s="15">
        <v>54</v>
      </c>
      <c r="B59" s="19"/>
      <c r="C59" s="21"/>
      <c r="D59" s="84"/>
      <c r="E59" s="21" t="s">
        <v>156</v>
      </c>
      <c r="F59" s="21" t="s">
        <v>147</v>
      </c>
      <c r="G59" s="21"/>
      <c r="H59" s="21" t="s">
        <v>135</v>
      </c>
      <c r="I59" s="12">
        <v>230</v>
      </c>
      <c r="J59" s="12">
        <v>1.62</v>
      </c>
      <c r="K59" s="11">
        <f t="shared" si="2"/>
        <v>1.4580000000000002</v>
      </c>
      <c r="L59" s="21"/>
      <c r="M59" s="21" t="s">
        <v>148</v>
      </c>
      <c r="O59" s="9" t="s">
        <v>33</v>
      </c>
      <c r="P59" t="s">
        <v>239</v>
      </c>
    </row>
    <row r="60" spans="1:16" ht="27.6">
      <c r="A60" s="14">
        <v>55</v>
      </c>
      <c r="B60" s="19"/>
      <c r="C60" s="21"/>
      <c r="D60" s="84"/>
      <c r="E60" s="21" t="s">
        <v>158</v>
      </c>
      <c r="F60" s="21" t="s">
        <v>147</v>
      </c>
      <c r="G60" s="21"/>
      <c r="H60" s="21" t="s">
        <v>135</v>
      </c>
      <c r="I60" s="12">
        <v>230</v>
      </c>
      <c r="J60" s="12"/>
      <c r="K60" s="11">
        <f t="shared" si="2"/>
        <v>0</v>
      </c>
      <c r="L60" s="21"/>
      <c r="M60" s="34" t="s">
        <v>249</v>
      </c>
      <c r="O60" s="9"/>
    </row>
    <row r="61" spans="1:16" ht="13.8">
      <c r="A61" s="15">
        <v>56</v>
      </c>
      <c r="B61" s="19"/>
      <c r="C61" s="21"/>
      <c r="D61" s="84"/>
      <c r="E61" s="21" t="s">
        <v>247</v>
      </c>
      <c r="F61" s="21" t="s">
        <v>147</v>
      </c>
      <c r="G61" s="21"/>
      <c r="H61" s="21" t="s">
        <v>135</v>
      </c>
      <c r="I61" s="12">
        <v>230</v>
      </c>
      <c r="J61" s="12">
        <v>0.05</v>
      </c>
      <c r="K61" s="11">
        <f t="shared" si="2"/>
        <v>4.5000000000000005E-2</v>
      </c>
      <c r="L61" s="21"/>
      <c r="M61" s="21" t="s">
        <v>246</v>
      </c>
      <c r="O61" s="9"/>
    </row>
    <row r="62" spans="1:16" ht="13.8">
      <c r="A62" s="15"/>
      <c r="B62" s="19"/>
      <c r="C62" s="21"/>
      <c r="D62" s="84"/>
      <c r="E62" s="21"/>
      <c r="F62" s="21"/>
      <c r="G62" s="21"/>
      <c r="H62" s="21"/>
      <c r="I62" s="12"/>
      <c r="J62" s="12"/>
      <c r="K62" s="11"/>
      <c r="L62" s="21"/>
      <c r="M62" s="86"/>
      <c r="O62" s="9"/>
    </row>
    <row r="63" spans="1:16" ht="13.8">
      <c r="A63" s="15">
        <v>57</v>
      </c>
      <c r="B63" s="19"/>
      <c r="C63" s="21"/>
      <c r="D63" s="84"/>
      <c r="E63" s="21" t="s">
        <v>172</v>
      </c>
      <c r="F63" s="21" t="s">
        <v>163</v>
      </c>
      <c r="G63" s="21"/>
      <c r="H63" s="21" t="s">
        <v>135</v>
      </c>
      <c r="I63" s="12">
        <v>230</v>
      </c>
      <c r="J63" s="12">
        <v>5.0000000000000001E-3</v>
      </c>
      <c r="K63" s="12">
        <v>5.0000000000000001E-3</v>
      </c>
      <c r="L63" s="21"/>
      <c r="M63" s="21" t="s">
        <v>240</v>
      </c>
      <c r="O63" s="9" t="s">
        <v>33</v>
      </c>
    </row>
    <row r="64" spans="1:16" ht="13.8">
      <c r="A64" s="14">
        <v>58</v>
      </c>
      <c r="B64" s="19"/>
      <c r="C64" s="21"/>
      <c r="D64" s="84"/>
      <c r="E64" s="21"/>
      <c r="F64" s="21"/>
      <c r="G64" s="21"/>
      <c r="H64" s="21"/>
      <c r="I64" s="12"/>
      <c r="J64" s="12"/>
      <c r="K64" s="12"/>
      <c r="L64" s="21"/>
      <c r="M64" s="34"/>
      <c r="O64" s="9"/>
    </row>
    <row r="65" spans="1:15" ht="13.8">
      <c r="A65" s="15">
        <v>59</v>
      </c>
      <c r="B65" s="19"/>
      <c r="C65" s="21"/>
      <c r="D65" s="84"/>
      <c r="E65" s="21" t="s">
        <v>164</v>
      </c>
      <c r="F65" s="21" t="s">
        <v>165</v>
      </c>
      <c r="G65" s="21"/>
      <c r="H65" s="21" t="s">
        <v>135</v>
      </c>
      <c r="I65" s="12" t="s">
        <v>173</v>
      </c>
      <c r="J65" s="12" t="s">
        <v>174</v>
      </c>
      <c r="K65" s="12"/>
      <c r="L65" s="21"/>
      <c r="M65" s="34" t="s">
        <v>79</v>
      </c>
      <c r="O65" s="9"/>
    </row>
    <row r="66" spans="1:15" ht="13.8">
      <c r="A66" s="15">
        <v>60</v>
      </c>
      <c r="B66" s="19"/>
      <c r="C66" s="21"/>
      <c r="D66" s="84"/>
      <c r="E66" s="21" t="s">
        <v>166</v>
      </c>
      <c r="F66" s="21" t="s">
        <v>167</v>
      </c>
      <c r="G66" s="21"/>
      <c r="H66" s="21" t="s">
        <v>135</v>
      </c>
      <c r="I66" s="12" t="s">
        <v>173</v>
      </c>
      <c r="J66" s="12" t="s">
        <v>174</v>
      </c>
      <c r="K66" s="12"/>
      <c r="L66" s="21"/>
      <c r="M66" s="34" t="s">
        <v>79</v>
      </c>
      <c r="O66" s="9"/>
    </row>
    <row r="67" spans="1:15" ht="13.8">
      <c r="A67" s="14">
        <v>61</v>
      </c>
      <c r="B67" s="19"/>
      <c r="C67" s="21"/>
      <c r="E67" s="21" t="s">
        <v>168</v>
      </c>
      <c r="F67" s="21" t="s">
        <v>169</v>
      </c>
      <c r="H67" s="21" t="s">
        <v>135</v>
      </c>
      <c r="I67" s="12" t="s">
        <v>173</v>
      </c>
      <c r="J67" s="12" t="s">
        <v>174</v>
      </c>
      <c r="K67" s="11"/>
      <c r="L67" s="21"/>
      <c r="M67" s="34" t="s">
        <v>79</v>
      </c>
    </row>
    <row r="68" spans="1:15" ht="13.8">
      <c r="A68" s="15">
        <v>62</v>
      </c>
      <c r="B68" s="19"/>
      <c r="C68" s="21"/>
      <c r="E68" s="21" t="s">
        <v>170</v>
      </c>
      <c r="F68" s="21" t="s">
        <v>171</v>
      </c>
      <c r="H68" s="21" t="s">
        <v>135</v>
      </c>
      <c r="I68" s="12" t="s">
        <v>173</v>
      </c>
      <c r="J68" s="12" t="s">
        <v>174</v>
      </c>
      <c r="K68" s="11"/>
      <c r="L68" s="21"/>
      <c r="M68" s="34" t="s">
        <v>79</v>
      </c>
    </row>
    <row r="69" spans="1:15" ht="13.8">
      <c r="A69" s="15">
        <v>63</v>
      </c>
      <c r="B69" s="19"/>
      <c r="C69" s="21"/>
      <c r="E69" s="21"/>
      <c r="F69" s="21"/>
      <c r="H69" s="21"/>
      <c r="I69" s="12"/>
      <c r="J69" s="12"/>
      <c r="K69" s="11"/>
      <c r="L69" s="21"/>
      <c r="M69" s="34"/>
    </row>
  </sheetData>
  <autoFilter ref="A3:M66" xr:uid="{F21C2524-FAA9-4D26-A94E-61A66714436E}"/>
  <mergeCells count="7">
    <mergeCell ref="D1:D2"/>
    <mergeCell ref="H1:H2"/>
    <mergeCell ref="G1:G2"/>
    <mergeCell ref="A1:A2"/>
    <mergeCell ref="C1:C2"/>
    <mergeCell ref="E1:E2"/>
    <mergeCell ref="B1:B2"/>
  </mergeCells>
  <phoneticPr fontId="5" type="noConversion"/>
  <pageMargins left="0.70866141732283472" right="0.70866141732283472" top="0.78740157480314965" bottom="0.59055118110236227" header="0.31496062992125984" footer="0.31496062992125984"/>
  <pageSetup paperSize="9" scale="70" fitToHeight="0" orientation="landscape" r:id="rId1"/>
  <headerFooter>
    <oddHeader>&amp;C&amp;12Soupis spotřebičů</oddHeader>
    <oddFooter>&amp;L&amp;F&amp;C&amp;A&amp;RPage &amp;P of 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4FD53B-F373-4159-9035-D965628A2043}">
  <sheetPr codeName="List3"/>
  <dimension ref="A1:U72"/>
  <sheetViews>
    <sheetView topLeftCell="E1" workbookViewId="0">
      <selection activeCell="G10" sqref="G10"/>
    </sheetView>
  </sheetViews>
  <sheetFormatPr defaultRowHeight="13.2"/>
  <cols>
    <col min="1" max="3" width="4.5546875" customWidth="1"/>
    <col min="4" max="4" width="4.5546875" hidden="1" customWidth="1"/>
    <col min="5" max="5" width="9.5546875" customWidth="1"/>
    <col min="6" max="6" width="10.88671875" customWidth="1"/>
    <col min="7" max="7" width="44.88671875" customWidth="1"/>
    <col min="8" max="8" width="15.5546875" customWidth="1"/>
    <col min="9" max="9" width="4.5546875" customWidth="1"/>
    <col min="10" max="10" width="8.109375" bestFit="1" customWidth="1"/>
    <col min="11" max="11" width="14.5546875" customWidth="1"/>
    <col min="12" max="12" width="7.109375" customWidth="1"/>
    <col min="13" max="13" width="9.44140625" customWidth="1"/>
    <col min="14" max="14" width="8.5546875" customWidth="1"/>
    <col min="15" max="15" width="8.5546875" hidden="1" customWidth="1"/>
    <col min="16" max="16" width="8.5546875" customWidth="1"/>
    <col min="17" max="17" width="21.88671875" customWidth="1"/>
    <col min="18" max="18" width="1.44140625" customWidth="1"/>
    <col min="19" max="19" width="6.33203125" bestFit="1" customWidth="1"/>
  </cols>
  <sheetData>
    <row r="1" spans="1:20" ht="12.75" customHeight="1">
      <c r="A1" s="94" t="s">
        <v>25</v>
      </c>
      <c r="B1" s="96" t="s">
        <v>22</v>
      </c>
      <c r="C1" s="96" t="s">
        <v>43</v>
      </c>
      <c r="D1" s="96" t="s">
        <v>23</v>
      </c>
      <c r="E1" s="91" t="s">
        <v>46</v>
      </c>
      <c r="F1" s="91" t="s">
        <v>53</v>
      </c>
      <c r="G1" s="91" t="s">
        <v>47</v>
      </c>
      <c r="H1" s="91" t="s">
        <v>48</v>
      </c>
      <c r="I1" s="96" t="s">
        <v>70</v>
      </c>
      <c r="J1" s="96" t="s">
        <v>29</v>
      </c>
      <c r="K1" s="91" t="s">
        <v>44</v>
      </c>
      <c r="L1" s="91" t="s">
        <v>49</v>
      </c>
      <c r="M1" s="91" t="s">
        <v>68</v>
      </c>
      <c r="N1" s="4" t="s">
        <v>69</v>
      </c>
      <c r="O1" s="4" t="s">
        <v>32</v>
      </c>
      <c r="P1" s="91" t="s">
        <v>26</v>
      </c>
      <c r="Q1" s="97" t="s">
        <v>27</v>
      </c>
      <c r="R1" s="2"/>
    </row>
    <row r="2" spans="1:20" ht="13.5" customHeight="1" thickBot="1">
      <c r="A2" s="95"/>
      <c r="B2" s="92"/>
      <c r="C2" s="92"/>
      <c r="D2" s="92"/>
      <c r="E2" s="92"/>
      <c r="F2" s="92"/>
      <c r="G2" s="93"/>
      <c r="H2" s="93"/>
      <c r="I2" s="92"/>
      <c r="J2" s="92"/>
      <c r="K2" s="92"/>
      <c r="L2" s="93"/>
      <c r="M2" s="93"/>
      <c r="N2" s="5" t="s">
        <v>67</v>
      </c>
      <c r="O2" s="5" t="s">
        <v>31</v>
      </c>
      <c r="P2" s="92"/>
      <c r="Q2" s="98"/>
      <c r="R2" s="3"/>
      <c r="S2" t="s">
        <v>75</v>
      </c>
    </row>
    <row r="3" spans="1:20" ht="13.8">
      <c r="A3" s="14"/>
      <c r="B3" s="19"/>
      <c r="C3" s="8"/>
      <c r="D3" s="6"/>
      <c r="E3" s="8"/>
      <c r="F3" s="8"/>
      <c r="G3" s="20"/>
      <c r="H3" s="20"/>
      <c r="I3" s="8"/>
      <c r="J3" s="8"/>
      <c r="K3" s="8"/>
      <c r="L3" s="8"/>
      <c r="M3" s="8"/>
      <c r="N3" s="8"/>
      <c r="O3" s="6"/>
      <c r="P3" s="8"/>
      <c r="Q3" s="18"/>
    </row>
    <row r="4" spans="1:20" ht="13.8">
      <c r="A4" s="15">
        <f>ROW(A1)</f>
        <v>1</v>
      </c>
      <c r="B4" s="10"/>
      <c r="C4" s="6"/>
      <c r="D4" s="6"/>
      <c r="E4" s="6" t="s">
        <v>32</v>
      </c>
      <c r="F4" s="6" t="s">
        <v>40</v>
      </c>
      <c r="G4" s="6" t="s">
        <v>73</v>
      </c>
      <c r="H4" s="6" t="s">
        <v>74</v>
      </c>
      <c r="I4" s="6" t="s">
        <v>71</v>
      </c>
      <c r="J4" s="6" t="s">
        <v>72</v>
      </c>
      <c r="K4" s="6"/>
      <c r="L4" s="7">
        <v>400</v>
      </c>
      <c r="M4" s="13">
        <v>7.5</v>
      </c>
      <c r="N4" s="13"/>
      <c r="O4" s="27"/>
      <c r="P4" s="6" t="s">
        <v>24</v>
      </c>
      <c r="Q4" s="28" t="s">
        <v>42</v>
      </c>
      <c r="S4" s="9">
        <v>7</v>
      </c>
      <c r="T4" t="s">
        <v>76</v>
      </c>
    </row>
    <row r="5" spans="1:20" ht="13.8">
      <c r="A5" s="14">
        <f t="shared" ref="A5:A63" si="0">ROW(A2)</f>
        <v>2</v>
      </c>
      <c r="B5" s="19"/>
      <c r="C5" s="8"/>
      <c r="D5" s="6"/>
      <c r="E5" s="6" t="s">
        <v>32</v>
      </c>
      <c r="F5" s="8" t="s">
        <v>61</v>
      </c>
      <c r="G5" s="8" t="s">
        <v>62</v>
      </c>
      <c r="H5" s="8" t="s">
        <v>45</v>
      </c>
      <c r="I5" s="8">
        <v>1</v>
      </c>
      <c r="J5" s="8">
        <v>4613</v>
      </c>
      <c r="K5" s="8"/>
      <c r="L5" s="13">
        <v>400</v>
      </c>
      <c r="M5" s="13">
        <v>2.5</v>
      </c>
      <c r="N5" s="13"/>
      <c r="O5" s="27"/>
      <c r="P5" s="8" t="s">
        <v>33</v>
      </c>
      <c r="Q5" s="29" t="s">
        <v>42</v>
      </c>
      <c r="S5" s="9">
        <v>8</v>
      </c>
    </row>
    <row r="6" spans="1:20" ht="13.8">
      <c r="A6" s="15">
        <f t="shared" si="0"/>
        <v>3</v>
      </c>
      <c r="B6" s="10"/>
      <c r="C6" s="6"/>
      <c r="D6" s="6"/>
      <c r="E6" s="6"/>
      <c r="F6" s="6"/>
      <c r="G6" s="6"/>
      <c r="H6" s="6"/>
      <c r="I6" s="6"/>
      <c r="J6" s="6"/>
      <c r="K6" s="6"/>
      <c r="L6" s="7"/>
      <c r="M6" s="13"/>
      <c r="N6" s="13"/>
      <c r="O6" s="27"/>
      <c r="P6" s="6"/>
      <c r="Q6" s="30"/>
      <c r="S6" s="9"/>
    </row>
    <row r="7" spans="1:20" ht="13.8">
      <c r="A7" s="15">
        <f t="shared" si="0"/>
        <v>4</v>
      </c>
      <c r="B7" s="19"/>
      <c r="C7" s="8"/>
      <c r="D7" s="6"/>
      <c r="E7" s="8"/>
      <c r="F7" s="8"/>
      <c r="G7" s="8"/>
      <c r="H7" s="8"/>
      <c r="I7" s="8"/>
      <c r="J7" s="8"/>
      <c r="K7" s="8"/>
      <c r="L7" s="13"/>
      <c r="M7" s="13"/>
      <c r="N7" s="13"/>
      <c r="O7" s="27"/>
      <c r="P7" s="8"/>
      <c r="Q7" s="29"/>
      <c r="S7" s="9"/>
    </row>
    <row r="8" spans="1:20" ht="13.8">
      <c r="A8" s="15">
        <f t="shared" si="0"/>
        <v>5</v>
      </c>
      <c r="B8" s="19"/>
      <c r="C8" s="8"/>
      <c r="D8" s="6"/>
      <c r="E8" s="8"/>
      <c r="F8" s="8"/>
      <c r="G8" s="8"/>
      <c r="H8" s="8"/>
      <c r="I8" s="8"/>
      <c r="J8" s="8"/>
      <c r="K8" s="8"/>
      <c r="L8" s="13"/>
      <c r="M8" s="13"/>
      <c r="N8" s="13"/>
      <c r="O8" s="27"/>
      <c r="P8" s="8"/>
      <c r="Q8" s="29"/>
      <c r="S8" s="9"/>
    </row>
    <row r="9" spans="1:20" ht="13.8">
      <c r="A9" s="15">
        <f t="shared" si="0"/>
        <v>6</v>
      </c>
      <c r="B9" s="19"/>
      <c r="C9" s="8"/>
      <c r="D9" s="6"/>
      <c r="E9" s="8"/>
      <c r="F9" s="8"/>
      <c r="G9" s="8"/>
      <c r="H9" s="8"/>
      <c r="I9" s="8"/>
      <c r="J9" s="8"/>
      <c r="K9" s="8"/>
      <c r="L9" s="13"/>
      <c r="M9" s="13"/>
      <c r="N9" s="13"/>
      <c r="O9" s="27"/>
      <c r="P9" s="8"/>
      <c r="Q9" s="29"/>
      <c r="S9" s="9"/>
    </row>
    <row r="10" spans="1:20" ht="13.8">
      <c r="A10" s="15">
        <f t="shared" si="0"/>
        <v>7</v>
      </c>
      <c r="B10" s="19"/>
      <c r="C10" s="8"/>
      <c r="D10" s="6"/>
      <c r="E10" s="8"/>
      <c r="F10" s="8"/>
      <c r="G10" s="8"/>
      <c r="H10" s="24"/>
      <c r="I10" s="8"/>
      <c r="J10" s="8"/>
      <c r="K10" s="8"/>
      <c r="L10" s="13"/>
      <c r="M10" s="13"/>
      <c r="N10" s="13"/>
      <c r="O10" s="27"/>
      <c r="P10" s="8"/>
      <c r="Q10" s="29"/>
      <c r="S10" s="9"/>
    </row>
    <row r="11" spans="1:20" ht="13.8">
      <c r="A11" s="15">
        <f t="shared" si="0"/>
        <v>8</v>
      </c>
      <c r="B11" s="10"/>
      <c r="C11" s="6"/>
      <c r="D11" s="6"/>
      <c r="E11" s="6"/>
      <c r="F11" s="6"/>
      <c r="G11" s="6"/>
      <c r="H11" s="31"/>
      <c r="I11" s="6"/>
      <c r="J11" s="6"/>
      <c r="K11" s="6"/>
      <c r="L11" s="7"/>
      <c r="M11" s="13"/>
      <c r="N11" s="13"/>
      <c r="O11" s="27"/>
      <c r="P11" s="6"/>
      <c r="Q11" s="30"/>
      <c r="S11" s="9"/>
    </row>
    <row r="12" spans="1:20" ht="13.8">
      <c r="A12" s="15">
        <f t="shared" si="0"/>
        <v>9</v>
      </c>
      <c r="B12" s="10"/>
      <c r="C12" s="6"/>
      <c r="D12" s="6"/>
      <c r="E12" s="6"/>
      <c r="F12" s="6"/>
      <c r="G12" s="6"/>
      <c r="H12" s="31"/>
      <c r="I12" s="6"/>
      <c r="J12" s="6"/>
      <c r="K12" s="6"/>
      <c r="L12" s="7"/>
      <c r="M12" s="13"/>
      <c r="N12" s="13"/>
      <c r="O12" s="27"/>
      <c r="P12" s="6"/>
      <c r="Q12" s="30"/>
      <c r="S12" s="9"/>
    </row>
    <row r="13" spans="1:20" ht="13.8">
      <c r="A13" s="15">
        <f t="shared" si="0"/>
        <v>10</v>
      </c>
      <c r="B13" s="10"/>
      <c r="C13" s="6"/>
      <c r="D13" s="6"/>
      <c r="E13" s="6"/>
      <c r="F13" s="6"/>
      <c r="G13" s="6"/>
      <c r="H13" s="31"/>
      <c r="I13" s="6"/>
      <c r="J13" s="6"/>
      <c r="K13" s="6"/>
      <c r="L13" s="7"/>
      <c r="M13" s="13"/>
      <c r="N13" s="13"/>
      <c r="O13" s="27"/>
      <c r="P13" s="6"/>
      <c r="Q13" s="30"/>
      <c r="S13" s="9"/>
    </row>
    <row r="14" spans="1:20" ht="13.8">
      <c r="A14" s="15">
        <f t="shared" si="0"/>
        <v>11</v>
      </c>
      <c r="B14" s="10"/>
      <c r="C14" s="6"/>
      <c r="D14" s="6"/>
      <c r="E14" s="6"/>
      <c r="F14" s="6"/>
      <c r="G14" s="6"/>
      <c r="H14" s="31"/>
      <c r="I14" s="6"/>
      <c r="J14" s="6"/>
      <c r="K14" s="6"/>
      <c r="L14" s="7"/>
      <c r="M14" s="13"/>
      <c r="N14" s="13"/>
      <c r="O14" s="27"/>
      <c r="P14" s="6"/>
      <c r="Q14" s="30"/>
      <c r="S14" s="9"/>
    </row>
    <row r="15" spans="1:20" ht="13.8">
      <c r="A15" s="15">
        <f t="shared" si="0"/>
        <v>12</v>
      </c>
      <c r="B15" s="19"/>
      <c r="C15" s="8"/>
      <c r="D15" s="6"/>
      <c r="E15" s="8"/>
      <c r="F15" s="16"/>
      <c r="G15" s="16"/>
      <c r="H15" s="8"/>
      <c r="I15" s="8"/>
      <c r="J15" s="8"/>
      <c r="K15" s="8"/>
      <c r="L15" s="13"/>
      <c r="M15" s="13"/>
      <c r="N15" s="13"/>
      <c r="O15" s="27"/>
      <c r="P15" s="8"/>
      <c r="Q15" s="29"/>
      <c r="S15" s="9"/>
    </row>
    <row r="16" spans="1:20" ht="13.8">
      <c r="A16" s="15">
        <f t="shared" si="0"/>
        <v>13</v>
      </c>
      <c r="B16" s="19"/>
      <c r="C16" s="8"/>
      <c r="D16" s="6"/>
      <c r="E16" s="8"/>
      <c r="F16" s="16"/>
      <c r="G16" s="16"/>
      <c r="H16" s="8"/>
      <c r="I16" s="8"/>
      <c r="J16" s="8"/>
      <c r="K16" s="8"/>
      <c r="L16" s="13"/>
      <c r="M16" s="13"/>
      <c r="N16" s="13"/>
      <c r="O16" s="27"/>
      <c r="P16" s="8"/>
      <c r="Q16" s="29"/>
      <c r="S16" s="9"/>
    </row>
    <row r="17" spans="1:19" ht="13.8">
      <c r="A17" s="15">
        <f t="shared" si="0"/>
        <v>14</v>
      </c>
      <c r="B17" s="19"/>
      <c r="C17" s="8"/>
      <c r="D17" s="6"/>
      <c r="E17" s="24"/>
      <c r="F17" s="24"/>
      <c r="G17" s="24"/>
      <c r="H17" s="24"/>
      <c r="I17" s="8"/>
      <c r="J17" s="8"/>
      <c r="K17" s="8"/>
      <c r="L17" s="13"/>
      <c r="M17" s="13"/>
      <c r="N17" s="13"/>
      <c r="O17" s="27"/>
      <c r="P17" s="8"/>
      <c r="Q17" s="29"/>
      <c r="S17" s="9"/>
    </row>
    <row r="18" spans="1:19" ht="13.8">
      <c r="A18" s="15">
        <f t="shared" si="0"/>
        <v>15</v>
      </c>
      <c r="B18" s="19"/>
      <c r="C18" s="8"/>
      <c r="D18" s="6"/>
      <c r="E18" s="24"/>
      <c r="F18" s="16"/>
      <c r="G18" s="16"/>
      <c r="H18" s="16"/>
      <c r="I18" s="8"/>
      <c r="J18" s="26"/>
      <c r="K18" s="8"/>
      <c r="L18" s="13"/>
      <c r="M18" s="13"/>
      <c r="N18" s="13"/>
      <c r="O18" s="27"/>
      <c r="P18" s="8"/>
      <c r="Q18" s="29"/>
      <c r="S18" s="9"/>
    </row>
    <row r="19" spans="1:19" ht="13.8">
      <c r="A19" s="15">
        <f t="shared" si="0"/>
        <v>16</v>
      </c>
      <c r="B19" s="19"/>
      <c r="C19" s="8"/>
      <c r="D19" s="6"/>
      <c r="E19" s="24"/>
      <c r="F19" s="16"/>
      <c r="G19" s="16"/>
      <c r="H19" s="16"/>
      <c r="I19" s="8"/>
      <c r="J19" s="26"/>
      <c r="K19" s="8"/>
      <c r="L19" s="13"/>
      <c r="M19" s="13"/>
      <c r="N19" s="13"/>
      <c r="O19" s="27"/>
      <c r="P19" s="8"/>
      <c r="Q19" s="29"/>
      <c r="S19" s="9"/>
    </row>
    <row r="20" spans="1:19" ht="13.8">
      <c r="A20" s="15">
        <f t="shared" si="0"/>
        <v>17</v>
      </c>
      <c r="B20" s="19"/>
      <c r="C20" s="8"/>
      <c r="D20" s="6"/>
      <c r="E20" s="24"/>
      <c r="F20" s="16"/>
      <c r="G20" s="16"/>
      <c r="H20" s="16"/>
      <c r="I20" s="8"/>
      <c r="J20" s="26"/>
      <c r="K20" s="8"/>
      <c r="L20" s="13"/>
      <c r="M20" s="13"/>
      <c r="N20" s="13"/>
      <c r="O20" s="27"/>
      <c r="P20" s="8"/>
      <c r="Q20" s="29"/>
      <c r="S20" s="9"/>
    </row>
    <row r="21" spans="1:19" ht="13.8">
      <c r="A21" s="15">
        <f t="shared" si="0"/>
        <v>18</v>
      </c>
      <c r="B21" s="19"/>
      <c r="C21" s="8"/>
      <c r="D21" s="6"/>
      <c r="E21" s="24"/>
      <c r="F21" s="16"/>
      <c r="G21" s="16"/>
      <c r="H21" s="16"/>
      <c r="I21" s="8"/>
      <c r="J21" s="26"/>
      <c r="K21" s="8"/>
      <c r="L21" s="13"/>
      <c r="M21" s="13"/>
      <c r="N21" s="13"/>
      <c r="O21" s="27"/>
      <c r="P21" s="8"/>
      <c r="Q21" s="29"/>
      <c r="S21" s="9"/>
    </row>
    <row r="22" spans="1:19" ht="13.8">
      <c r="A22" s="15">
        <f t="shared" si="0"/>
        <v>19</v>
      </c>
      <c r="B22" s="19"/>
      <c r="C22" s="8"/>
      <c r="D22" s="6"/>
      <c r="E22" s="24"/>
      <c r="F22" s="16"/>
      <c r="G22" s="16"/>
      <c r="H22" s="16"/>
      <c r="I22" s="8"/>
      <c r="J22" s="26"/>
      <c r="K22" s="8"/>
      <c r="L22" s="13"/>
      <c r="M22" s="13"/>
      <c r="N22" s="13"/>
      <c r="O22" s="27"/>
      <c r="P22" s="8"/>
      <c r="Q22" s="29"/>
      <c r="S22" s="9"/>
    </row>
    <row r="23" spans="1:19" ht="13.8">
      <c r="A23" s="15">
        <f t="shared" si="0"/>
        <v>20</v>
      </c>
      <c r="B23" s="19"/>
      <c r="C23" s="8"/>
      <c r="D23" s="6"/>
      <c r="E23" s="24"/>
      <c r="F23" s="16"/>
      <c r="G23" s="16"/>
      <c r="H23" s="16"/>
      <c r="I23" s="8"/>
      <c r="J23" s="26"/>
      <c r="K23" s="8"/>
      <c r="L23" s="13"/>
      <c r="M23" s="13"/>
      <c r="N23" s="13"/>
      <c r="O23" s="27"/>
      <c r="P23" s="8"/>
      <c r="Q23" s="29"/>
      <c r="S23" s="9"/>
    </row>
    <row r="24" spans="1:19" ht="13.8">
      <c r="A24" s="15">
        <f t="shared" si="0"/>
        <v>21</v>
      </c>
      <c r="B24" s="19"/>
      <c r="C24" s="8"/>
      <c r="D24" s="6"/>
      <c r="E24" s="24"/>
      <c r="F24" s="16"/>
      <c r="G24" s="16"/>
      <c r="H24" s="16"/>
      <c r="I24" s="8"/>
      <c r="J24" s="26"/>
      <c r="K24" s="8"/>
      <c r="L24" s="13"/>
      <c r="M24" s="13"/>
      <c r="N24" s="13"/>
      <c r="O24" s="27"/>
      <c r="P24" s="8"/>
      <c r="Q24" s="29"/>
      <c r="S24" s="9"/>
    </row>
    <row r="25" spans="1:19" ht="13.8">
      <c r="A25" s="15">
        <f t="shared" si="0"/>
        <v>22</v>
      </c>
      <c r="B25" s="19"/>
      <c r="C25" s="8"/>
      <c r="D25" s="6"/>
      <c r="E25" s="24"/>
      <c r="F25" s="16"/>
      <c r="G25" s="16"/>
      <c r="H25" s="16"/>
      <c r="I25" s="8"/>
      <c r="J25" s="26"/>
      <c r="K25" s="8"/>
      <c r="L25" s="13"/>
      <c r="M25" s="13"/>
      <c r="N25" s="13"/>
      <c r="O25" s="27"/>
      <c r="P25" s="8"/>
      <c r="Q25" s="29"/>
      <c r="S25" s="9"/>
    </row>
    <row r="26" spans="1:19" ht="13.8">
      <c r="A26" s="15">
        <f t="shared" si="0"/>
        <v>23</v>
      </c>
      <c r="B26" s="19"/>
      <c r="C26" s="8"/>
      <c r="D26" s="6"/>
      <c r="E26" s="24"/>
      <c r="F26" s="24"/>
      <c r="G26" s="16"/>
      <c r="H26" s="16"/>
      <c r="I26" s="8"/>
      <c r="J26" s="26"/>
      <c r="K26" s="8"/>
      <c r="L26" s="13"/>
      <c r="M26" s="13"/>
      <c r="N26" s="13"/>
      <c r="O26" s="27"/>
      <c r="P26" s="8"/>
      <c r="Q26" s="29"/>
      <c r="S26" s="9"/>
    </row>
    <row r="27" spans="1:19" ht="13.8">
      <c r="A27" s="15">
        <f t="shared" si="0"/>
        <v>24</v>
      </c>
      <c r="B27" s="19"/>
      <c r="C27" s="8"/>
      <c r="D27" s="6"/>
      <c r="E27" s="24"/>
      <c r="F27" s="24"/>
      <c r="G27" s="16"/>
      <c r="H27" s="16"/>
      <c r="I27" s="8"/>
      <c r="J27" s="26"/>
      <c r="K27" s="8"/>
      <c r="L27" s="13"/>
      <c r="M27" s="13"/>
      <c r="N27" s="13"/>
      <c r="O27" s="27"/>
      <c r="P27" s="8"/>
      <c r="Q27" s="29"/>
      <c r="S27" s="9"/>
    </row>
    <row r="28" spans="1:19" ht="13.8">
      <c r="A28" s="15">
        <f t="shared" si="0"/>
        <v>25</v>
      </c>
      <c r="B28" s="19"/>
      <c r="C28" s="8"/>
      <c r="D28" s="6"/>
      <c r="E28" s="8"/>
      <c r="F28" s="16"/>
      <c r="G28" s="16"/>
      <c r="H28" s="16"/>
      <c r="I28" s="8"/>
      <c r="J28" s="26"/>
      <c r="K28" s="8"/>
      <c r="L28" s="13"/>
      <c r="M28" s="13"/>
      <c r="N28" s="13"/>
      <c r="O28" s="27"/>
      <c r="P28" s="8"/>
      <c r="Q28" s="29"/>
      <c r="S28" s="9"/>
    </row>
    <row r="29" spans="1:19" ht="13.8">
      <c r="A29" s="15">
        <f t="shared" si="0"/>
        <v>26</v>
      </c>
      <c r="B29" s="10"/>
      <c r="C29" s="6"/>
      <c r="D29" s="6"/>
      <c r="E29" s="6"/>
      <c r="F29" s="32"/>
      <c r="G29" s="32"/>
      <c r="H29" s="31"/>
      <c r="I29" s="8"/>
      <c r="J29" s="33"/>
      <c r="K29" s="6"/>
      <c r="L29" s="7"/>
      <c r="M29" s="13"/>
      <c r="N29" s="13"/>
      <c r="O29" s="27"/>
      <c r="P29" s="6"/>
      <c r="Q29" s="30"/>
      <c r="S29" s="9"/>
    </row>
    <row r="30" spans="1:19" ht="13.8">
      <c r="A30" s="15">
        <f t="shared" si="0"/>
        <v>27</v>
      </c>
      <c r="B30" s="10"/>
      <c r="C30" s="6"/>
      <c r="D30" s="6"/>
      <c r="E30" s="6"/>
      <c r="F30" s="32"/>
      <c r="G30" s="32"/>
      <c r="H30" s="31"/>
      <c r="I30" s="8"/>
      <c r="J30" s="33"/>
      <c r="K30" s="6"/>
      <c r="L30" s="7"/>
      <c r="M30" s="13"/>
      <c r="N30" s="13"/>
      <c r="O30" s="27"/>
      <c r="P30" s="6"/>
      <c r="Q30" s="30"/>
      <c r="S30" s="9"/>
    </row>
    <row r="31" spans="1:19" ht="13.8">
      <c r="A31" s="15">
        <f t="shared" si="0"/>
        <v>28</v>
      </c>
      <c r="B31" s="10"/>
      <c r="C31" s="6"/>
      <c r="D31" s="6"/>
      <c r="E31" s="6"/>
      <c r="F31" s="32"/>
      <c r="G31" s="32"/>
      <c r="H31" s="32"/>
      <c r="I31" s="8"/>
      <c r="J31" s="33"/>
      <c r="K31" s="6"/>
      <c r="L31" s="7"/>
      <c r="M31" s="13"/>
      <c r="N31" s="13"/>
      <c r="O31" s="27"/>
      <c r="P31" s="6"/>
      <c r="Q31" s="30"/>
      <c r="S31" s="9"/>
    </row>
    <row r="32" spans="1:19" ht="13.8">
      <c r="A32" s="15">
        <f t="shared" si="0"/>
        <v>29</v>
      </c>
      <c r="B32" s="19"/>
      <c r="C32" s="8"/>
      <c r="D32" s="6"/>
      <c r="E32" s="24"/>
      <c r="F32" s="24"/>
      <c r="G32" s="24"/>
      <c r="H32" s="24"/>
      <c r="I32" s="8"/>
      <c r="J32" s="26"/>
      <c r="K32" s="8"/>
      <c r="L32" s="13"/>
      <c r="M32" s="13"/>
      <c r="N32" s="13"/>
      <c r="O32" s="27"/>
      <c r="P32" s="8"/>
      <c r="Q32" s="29"/>
      <c r="S32" s="9"/>
    </row>
    <row r="33" spans="1:19" ht="13.8">
      <c r="A33" s="15">
        <f t="shared" si="0"/>
        <v>30</v>
      </c>
      <c r="B33" s="19"/>
      <c r="C33" s="6"/>
      <c r="D33" s="6"/>
      <c r="E33" s="6"/>
      <c r="F33" s="31"/>
      <c r="G33" s="31"/>
      <c r="H33" s="6"/>
      <c r="I33" s="8"/>
      <c r="J33" s="26"/>
      <c r="K33" s="6"/>
      <c r="L33" s="7"/>
      <c r="M33" s="13"/>
      <c r="N33" s="13"/>
      <c r="O33" s="27"/>
      <c r="P33" s="8"/>
      <c r="Q33" s="30"/>
      <c r="S33" s="9"/>
    </row>
    <row r="34" spans="1:19" ht="13.8">
      <c r="A34" s="15">
        <f t="shared" si="0"/>
        <v>31</v>
      </c>
      <c r="B34" s="10"/>
      <c r="C34" s="6"/>
      <c r="D34" s="6"/>
      <c r="E34" s="31"/>
      <c r="F34" s="31"/>
      <c r="G34" s="31"/>
      <c r="H34" s="31"/>
      <c r="I34" s="8"/>
      <c r="J34" s="33"/>
      <c r="K34" s="6"/>
      <c r="L34" s="7"/>
      <c r="M34" s="13"/>
      <c r="N34" s="13"/>
      <c r="O34" s="27"/>
      <c r="P34" s="6"/>
      <c r="Q34" s="30"/>
      <c r="S34" s="9"/>
    </row>
    <row r="35" spans="1:19" ht="13.8">
      <c r="A35" s="15">
        <f t="shared" si="0"/>
        <v>32</v>
      </c>
      <c r="B35" s="10"/>
      <c r="C35" s="6"/>
      <c r="D35" s="6"/>
      <c r="E35" s="31"/>
      <c r="F35" s="31"/>
      <c r="G35" s="31"/>
      <c r="H35" s="31"/>
      <c r="I35" s="8"/>
      <c r="J35" s="33"/>
      <c r="K35" s="6"/>
      <c r="L35" s="7"/>
      <c r="M35" s="13"/>
      <c r="N35" s="13"/>
      <c r="O35" s="27"/>
      <c r="P35" s="6"/>
      <c r="Q35" s="30"/>
      <c r="S35" s="9"/>
    </row>
    <row r="36" spans="1:19" ht="13.8">
      <c r="A36" s="15">
        <f t="shared" si="0"/>
        <v>33</v>
      </c>
      <c r="B36" s="10"/>
      <c r="C36" s="6"/>
      <c r="D36" s="6"/>
      <c r="E36" s="31"/>
      <c r="F36" s="31"/>
      <c r="G36" s="31"/>
      <c r="H36" s="31"/>
      <c r="I36" s="8"/>
      <c r="J36" s="33"/>
      <c r="K36" s="6"/>
      <c r="L36" s="7"/>
      <c r="M36" s="13"/>
      <c r="N36" s="13"/>
      <c r="O36" s="27"/>
      <c r="P36" s="6"/>
      <c r="Q36" s="30"/>
      <c r="S36" s="9"/>
    </row>
    <row r="37" spans="1:19" ht="13.8">
      <c r="A37" s="15">
        <f t="shared" si="0"/>
        <v>34</v>
      </c>
      <c r="B37" s="10"/>
      <c r="C37" s="6"/>
      <c r="D37" s="6"/>
      <c r="E37" s="31"/>
      <c r="F37" s="31"/>
      <c r="G37" s="31"/>
      <c r="H37" s="31"/>
      <c r="I37" s="8"/>
      <c r="J37" s="33"/>
      <c r="K37" s="6"/>
      <c r="L37" s="7"/>
      <c r="M37" s="13"/>
      <c r="N37" s="13"/>
      <c r="O37" s="27"/>
      <c r="P37" s="6"/>
      <c r="Q37" s="30"/>
      <c r="S37" s="9"/>
    </row>
    <row r="38" spans="1:19" ht="13.8">
      <c r="A38" s="15">
        <f t="shared" si="0"/>
        <v>35</v>
      </c>
      <c r="B38" s="10"/>
      <c r="C38" s="6"/>
      <c r="D38" s="6"/>
      <c r="E38" s="31"/>
      <c r="F38" s="31"/>
      <c r="G38" s="31"/>
      <c r="H38" s="31"/>
      <c r="I38" s="8"/>
      <c r="J38" s="33"/>
      <c r="K38" s="6"/>
      <c r="L38" s="7"/>
      <c r="M38" s="13"/>
      <c r="N38" s="13"/>
      <c r="O38" s="27"/>
      <c r="P38" s="6"/>
      <c r="Q38" s="30"/>
      <c r="S38" s="9"/>
    </row>
    <row r="39" spans="1:19" ht="13.8">
      <c r="A39" s="15">
        <f t="shared" si="0"/>
        <v>36</v>
      </c>
      <c r="B39" s="10"/>
      <c r="C39" s="6"/>
      <c r="D39" s="6"/>
      <c r="E39" s="31"/>
      <c r="F39" s="31"/>
      <c r="G39" s="31"/>
      <c r="H39" s="31"/>
      <c r="I39" s="8"/>
      <c r="J39" s="33"/>
      <c r="K39" s="6"/>
      <c r="L39" s="7"/>
      <c r="M39" s="13"/>
      <c r="N39" s="13"/>
      <c r="O39" s="27"/>
      <c r="P39" s="6"/>
      <c r="Q39" s="30"/>
      <c r="S39" s="9"/>
    </row>
    <row r="40" spans="1:19" ht="13.8">
      <c r="A40" s="15">
        <f t="shared" si="0"/>
        <v>37</v>
      </c>
      <c r="B40" s="10"/>
      <c r="C40" s="6"/>
      <c r="D40" s="6"/>
      <c r="E40" s="31"/>
      <c r="F40" s="31"/>
      <c r="G40" s="31"/>
      <c r="H40" s="31"/>
      <c r="I40" s="8"/>
      <c r="J40" s="33"/>
      <c r="K40" s="6"/>
      <c r="L40" s="7"/>
      <c r="M40" s="13"/>
      <c r="N40" s="13"/>
      <c r="O40" s="27"/>
      <c r="P40" s="6"/>
      <c r="Q40" s="30"/>
      <c r="S40" s="9"/>
    </row>
    <row r="41" spans="1:19" ht="13.8">
      <c r="A41" s="15">
        <f t="shared" si="0"/>
        <v>38</v>
      </c>
      <c r="B41" s="10"/>
      <c r="C41" s="6"/>
      <c r="D41" s="6"/>
      <c r="E41" s="31"/>
      <c r="F41" s="31"/>
      <c r="G41" s="31"/>
      <c r="H41" s="31"/>
      <c r="I41" s="8"/>
      <c r="J41" s="33"/>
      <c r="K41" s="6"/>
      <c r="L41" s="7"/>
      <c r="M41" s="13"/>
      <c r="N41" s="13"/>
      <c r="O41" s="27"/>
      <c r="P41" s="6"/>
      <c r="Q41" s="30"/>
      <c r="S41" s="9"/>
    </row>
    <row r="42" spans="1:19" ht="13.8">
      <c r="A42" s="15">
        <f t="shared" si="0"/>
        <v>39</v>
      </c>
      <c r="B42" s="10"/>
      <c r="C42" s="6"/>
      <c r="D42" s="6"/>
      <c r="E42" s="31"/>
      <c r="F42" s="31"/>
      <c r="G42" s="31"/>
      <c r="H42" s="31"/>
      <c r="I42" s="8"/>
      <c r="J42" s="33"/>
      <c r="K42" s="6"/>
      <c r="L42" s="7"/>
      <c r="M42" s="13"/>
      <c r="N42" s="13"/>
      <c r="O42" s="27"/>
      <c r="P42" s="6"/>
      <c r="Q42" s="30"/>
      <c r="S42" s="9"/>
    </row>
    <row r="43" spans="1:19" ht="13.8">
      <c r="A43" s="15">
        <f t="shared" si="0"/>
        <v>40</v>
      </c>
      <c r="B43" s="10"/>
      <c r="C43" s="6"/>
      <c r="D43" s="6"/>
      <c r="E43" s="31"/>
      <c r="F43" s="31"/>
      <c r="G43" s="31"/>
      <c r="H43" s="31"/>
      <c r="I43" s="8"/>
      <c r="J43" s="33"/>
      <c r="K43" s="6"/>
      <c r="L43" s="7"/>
      <c r="M43" s="13"/>
      <c r="N43" s="13"/>
      <c r="O43" s="27"/>
      <c r="P43" s="6"/>
      <c r="Q43" s="30"/>
      <c r="S43" s="9"/>
    </row>
    <row r="44" spans="1:19" ht="13.8">
      <c r="A44" s="15">
        <f t="shared" si="0"/>
        <v>41</v>
      </c>
      <c r="B44" s="10"/>
      <c r="C44" s="8"/>
      <c r="D44" s="6"/>
      <c r="E44" s="8"/>
      <c r="F44" s="31"/>
      <c r="G44" s="24"/>
      <c r="H44" s="24"/>
      <c r="I44" s="8"/>
      <c r="J44" s="33"/>
      <c r="K44" s="6"/>
      <c r="L44" s="13"/>
      <c r="M44" s="13"/>
      <c r="N44" s="13"/>
      <c r="O44" s="27"/>
      <c r="P44" s="8"/>
      <c r="Q44" s="29"/>
      <c r="S44" s="9"/>
    </row>
    <row r="45" spans="1:19" ht="13.8">
      <c r="A45" s="15">
        <f t="shared" si="0"/>
        <v>42</v>
      </c>
      <c r="B45" s="10"/>
      <c r="C45" s="8"/>
      <c r="D45" s="6"/>
      <c r="E45" s="8"/>
      <c r="F45" s="31"/>
      <c r="G45" s="24"/>
      <c r="H45" s="24"/>
      <c r="I45" s="8"/>
      <c r="J45" s="33"/>
      <c r="K45" s="6"/>
      <c r="L45" s="13"/>
      <c r="M45" s="13"/>
      <c r="N45" s="13"/>
      <c r="O45" s="27"/>
      <c r="P45" s="8"/>
      <c r="Q45" s="29"/>
      <c r="S45" s="9"/>
    </row>
    <row r="46" spans="1:19" ht="13.8">
      <c r="A46" s="15">
        <f t="shared" si="0"/>
        <v>43</v>
      </c>
      <c r="B46" s="19"/>
      <c r="C46" s="8"/>
      <c r="D46" s="6"/>
      <c r="E46" s="24"/>
      <c r="F46" s="24"/>
      <c r="G46" s="24"/>
      <c r="H46" s="24"/>
      <c r="I46" s="26"/>
      <c r="J46" s="26"/>
      <c r="K46" s="8"/>
      <c r="L46" s="13"/>
      <c r="M46" s="13"/>
      <c r="N46" s="13"/>
      <c r="O46" s="27"/>
      <c r="P46" s="8"/>
      <c r="Q46" s="29"/>
      <c r="S46" s="9"/>
    </row>
    <row r="47" spans="1:19" ht="13.8">
      <c r="A47" s="15">
        <f t="shared" si="0"/>
        <v>44</v>
      </c>
      <c r="B47" s="19"/>
      <c r="C47" s="8"/>
      <c r="D47" s="6"/>
      <c r="E47" s="24"/>
      <c r="F47" s="24"/>
      <c r="G47" s="24"/>
      <c r="H47" s="24"/>
      <c r="I47" s="26"/>
      <c r="J47" s="26"/>
      <c r="K47" s="8"/>
      <c r="L47" s="13"/>
      <c r="M47" s="13"/>
      <c r="N47" s="13"/>
      <c r="O47" s="27"/>
      <c r="P47" s="8"/>
      <c r="Q47" s="29"/>
      <c r="S47" s="9"/>
    </row>
    <row r="48" spans="1:19" ht="15" customHeight="1">
      <c r="A48" s="15">
        <f t="shared" si="0"/>
        <v>45</v>
      </c>
      <c r="B48" s="19"/>
      <c r="C48" s="8"/>
      <c r="D48" s="6"/>
      <c r="E48" s="24"/>
      <c r="F48" s="24"/>
      <c r="G48" s="24"/>
      <c r="H48" s="24"/>
      <c r="I48" s="8"/>
      <c r="J48" s="26"/>
      <c r="K48" s="8"/>
      <c r="L48" s="13"/>
      <c r="M48" s="13"/>
      <c r="N48" s="13"/>
      <c r="O48" s="27"/>
      <c r="P48" s="8"/>
      <c r="Q48" s="29"/>
      <c r="S48" s="9"/>
    </row>
    <row r="49" spans="1:21" ht="15" customHeight="1">
      <c r="A49" s="15">
        <f t="shared" si="0"/>
        <v>46</v>
      </c>
      <c r="B49" s="19"/>
      <c r="C49" s="8"/>
      <c r="D49" s="6"/>
      <c r="E49" s="24"/>
      <c r="F49" s="24"/>
      <c r="G49" s="24"/>
      <c r="H49" s="24"/>
      <c r="I49" s="8"/>
      <c r="J49" s="26"/>
      <c r="K49" s="8"/>
      <c r="L49" s="13"/>
      <c r="M49" s="13"/>
      <c r="N49" s="13"/>
      <c r="O49" s="27"/>
      <c r="P49" s="8"/>
      <c r="Q49" s="29"/>
      <c r="S49" s="9"/>
    </row>
    <row r="50" spans="1:21" ht="15" customHeight="1">
      <c r="A50" s="15">
        <f t="shared" si="0"/>
        <v>47</v>
      </c>
      <c r="B50" s="19"/>
      <c r="C50" s="8"/>
      <c r="D50" s="6"/>
      <c r="E50" s="24"/>
      <c r="F50" s="24"/>
      <c r="G50" s="24"/>
      <c r="H50" s="24"/>
      <c r="I50" s="8"/>
      <c r="J50" s="26"/>
      <c r="K50" s="8"/>
      <c r="L50" s="13"/>
      <c r="M50" s="13"/>
      <c r="N50" s="13"/>
      <c r="O50" s="27"/>
      <c r="P50" s="8"/>
      <c r="Q50" s="29"/>
      <c r="S50" s="9"/>
    </row>
    <row r="51" spans="1:21" ht="15" customHeight="1">
      <c r="A51" s="15">
        <f t="shared" si="0"/>
        <v>48</v>
      </c>
      <c r="B51" s="19"/>
      <c r="C51" s="8"/>
      <c r="D51" s="6"/>
      <c r="E51" s="24"/>
      <c r="F51" s="24"/>
      <c r="G51" s="24"/>
      <c r="H51" s="24"/>
      <c r="I51" s="8"/>
      <c r="J51" s="26"/>
      <c r="K51" s="8"/>
      <c r="L51" s="13"/>
      <c r="M51" s="13"/>
      <c r="N51" s="13"/>
      <c r="O51" s="27"/>
      <c r="P51" s="8"/>
      <c r="Q51" s="29"/>
      <c r="S51" s="9"/>
    </row>
    <row r="52" spans="1:21" ht="15" customHeight="1">
      <c r="A52" s="15">
        <f t="shared" si="0"/>
        <v>49</v>
      </c>
      <c r="B52" s="19"/>
      <c r="C52" s="8"/>
      <c r="D52" s="6"/>
      <c r="E52" s="24"/>
      <c r="F52" s="24"/>
      <c r="G52" s="24"/>
      <c r="H52" s="24"/>
      <c r="I52" s="8"/>
      <c r="J52" s="26"/>
      <c r="K52" s="8"/>
      <c r="L52" s="13"/>
      <c r="M52" s="13"/>
      <c r="N52" s="13"/>
      <c r="O52" s="27"/>
      <c r="P52" s="8"/>
      <c r="Q52" s="29"/>
      <c r="S52" s="9"/>
    </row>
    <row r="53" spans="1:21" ht="15" customHeight="1">
      <c r="A53" s="15">
        <f t="shared" si="0"/>
        <v>50</v>
      </c>
      <c r="B53" s="19"/>
      <c r="C53" s="8"/>
      <c r="D53" s="6"/>
      <c r="E53" s="24"/>
      <c r="F53" s="24"/>
      <c r="G53" s="24"/>
      <c r="H53" s="24"/>
      <c r="I53" s="8"/>
      <c r="J53" s="26"/>
      <c r="K53" s="8"/>
      <c r="L53" s="13"/>
      <c r="M53" s="13"/>
      <c r="N53" s="13"/>
      <c r="O53" s="27"/>
      <c r="P53" s="8"/>
      <c r="Q53" s="29"/>
      <c r="S53" s="9"/>
    </row>
    <row r="54" spans="1:21" ht="15" customHeight="1">
      <c r="A54" s="15">
        <f t="shared" si="0"/>
        <v>51</v>
      </c>
      <c r="B54" s="19"/>
      <c r="C54" s="8"/>
      <c r="D54" s="6"/>
      <c r="E54" s="24"/>
      <c r="F54" s="24"/>
      <c r="G54" s="24"/>
      <c r="H54" s="24"/>
      <c r="I54" s="8"/>
      <c r="J54" s="26"/>
      <c r="K54" s="8"/>
      <c r="L54" s="13"/>
      <c r="M54" s="13"/>
      <c r="N54" s="13"/>
      <c r="O54" s="27"/>
      <c r="P54" s="8"/>
      <c r="Q54" s="29"/>
      <c r="S54" s="9"/>
    </row>
    <row r="55" spans="1:21" ht="15" customHeight="1">
      <c r="A55" s="15">
        <f t="shared" si="0"/>
        <v>52</v>
      </c>
      <c r="B55" s="19"/>
      <c r="C55" s="8"/>
      <c r="D55" s="6"/>
      <c r="E55" s="24"/>
      <c r="F55" s="24"/>
      <c r="G55" s="24"/>
      <c r="H55" s="24"/>
      <c r="I55" s="8"/>
      <c r="J55" s="26"/>
      <c r="K55" s="8"/>
      <c r="L55" s="13"/>
      <c r="M55" s="13"/>
      <c r="N55" s="13"/>
      <c r="O55" s="27"/>
      <c r="P55" s="8"/>
      <c r="Q55" s="29"/>
      <c r="S55" s="9"/>
    </row>
    <row r="56" spans="1:21" ht="15" customHeight="1">
      <c r="A56" s="15">
        <f t="shared" si="0"/>
        <v>53</v>
      </c>
      <c r="B56" s="19"/>
      <c r="C56" s="8"/>
      <c r="D56" s="6"/>
      <c r="E56" s="24"/>
      <c r="F56" s="24"/>
      <c r="G56" s="24"/>
      <c r="H56" s="24"/>
      <c r="I56" s="8"/>
      <c r="J56" s="26"/>
      <c r="K56" s="8"/>
      <c r="L56" s="13"/>
      <c r="M56" s="13"/>
      <c r="N56" s="13"/>
      <c r="O56" s="27"/>
      <c r="P56" s="8"/>
      <c r="Q56" s="29"/>
      <c r="S56" s="9"/>
    </row>
    <row r="57" spans="1:21" ht="15" customHeight="1">
      <c r="A57" s="15">
        <f t="shared" si="0"/>
        <v>54</v>
      </c>
      <c r="B57" s="19"/>
      <c r="C57" s="8"/>
      <c r="D57" s="6"/>
      <c r="E57" s="24"/>
      <c r="F57" s="24"/>
      <c r="G57" s="24"/>
      <c r="H57" s="24"/>
      <c r="I57" s="8"/>
      <c r="J57" s="26"/>
      <c r="K57" s="8"/>
      <c r="L57" s="13"/>
      <c r="M57" s="13"/>
      <c r="N57" s="13"/>
      <c r="O57" s="27"/>
      <c r="P57" s="8"/>
      <c r="Q57" s="29"/>
      <c r="S57" s="9"/>
    </row>
    <row r="58" spans="1:21" ht="15" customHeight="1">
      <c r="A58" s="15">
        <f t="shared" si="0"/>
        <v>55</v>
      </c>
      <c r="B58" s="19"/>
      <c r="C58" s="8"/>
      <c r="D58" s="6"/>
      <c r="E58" s="24"/>
      <c r="F58" s="24"/>
      <c r="G58" s="24"/>
      <c r="H58" s="24"/>
      <c r="I58" s="8"/>
      <c r="J58" s="26"/>
      <c r="K58" s="8"/>
      <c r="L58" s="13"/>
      <c r="M58" s="13"/>
      <c r="N58" s="13"/>
      <c r="O58" s="27"/>
      <c r="P58" s="8"/>
      <c r="Q58" s="29"/>
      <c r="S58" s="9"/>
    </row>
    <row r="59" spans="1:21" ht="13.8">
      <c r="A59" s="15">
        <f t="shared" si="0"/>
        <v>56</v>
      </c>
      <c r="B59" s="19"/>
      <c r="C59" s="8"/>
      <c r="D59" s="6"/>
      <c r="E59" s="8"/>
      <c r="F59" s="16"/>
      <c r="G59" s="24"/>
      <c r="H59" s="24"/>
      <c r="I59" s="25"/>
      <c r="J59" s="26"/>
      <c r="K59" s="8"/>
      <c r="L59" s="13"/>
      <c r="M59" s="13"/>
      <c r="N59" s="13"/>
      <c r="O59" s="8"/>
      <c r="P59" s="8"/>
      <c r="Q59" s="18"/>
      <c r="R59">
        <f>SUBTOTAL(9,N4:N43)</f>
        <v>0</v>
      </c>
    </row>
    <row r="60" spans="1:21" s="1" customFormat="1" ht="13.8">
      <c r="A60" s="15">
        <f t="shared" si="0"/>
        <v>57</v>
      </c>
      <c r="B60" s="19"/>
      <c r="C60" s="8"/>
      <c r="D60" s="6"/>
      <c r="E60" s="8"/>
      <c r="F60" s="13"/>
      <c r="G60" s="24"/>
      <c r="H60" s="24"/>
      <c r="I60" s="25"/>
      <c r="J60" s="25"/>
      <c r="K60" s="8"/>
      <c r="L60" s="13"/>
      <c r="M60" s="13"/>
      <c r="N60" s="13"/>
      <c r="O60" s="8"/>
      <c r="P60" s="8"/>
      <c r="Q60" s="18"/>
      <c r="R60"/>
      <c r="U60"/>
    </row>
    <row r="61" spans="1:21" ht="13.8">
      <c r="A61" s="15">
        <f t="shared" si="0"/>
        <v>58</v>
      </c>
      <c r="B61" s="19"/>
      <c r="C61" s="8"/>
      <c r="D61" s="6"/>
      <c r="E61" s="8"/>
      <c r="F61" s="13"/>
      <c r="G61" s="24"/>
      <c r="H61" s="24"/>
      <c r="I61" s="25"/>
      <c r="J61" s="25"/>
      <c r="K61" s="8"/>
      <c r="L61" s="13"/>
      <c r="M61" s="13"/>
      <c r="N61" s="8"/>
      <c r="O61" s="8"/>
      <c r="P61" s="8"/>
      <c r="Q61" s="18"/>
      <c r="S61" s="17"/>
    </row>
    <row r="62" spans="1:21" ht="13.8">
      <c r="A62" s="15">
        <f t="shared" si="0"/>
        <v>59</v>
      </c>
      <c r="B62" s="19"/>
      <c r="C62" s="8"/>
      <c r="D62" s="6"/>
      <c r="E62" s="8"/>
      <c r="F62" s="8"/>
      <c r="G62" s="24"/>
      <c r="H62" s="24"/>
      <c r="I62" s="25"/>
      <c r="J62" s="26"/>
      <c r="K62" s="8"/>
      <c r="L62" s="13"/>
      <c r="M62" s="13"/>
      <c r="N62" s="8"/>
      <c r="O62" s="8"/>
      <c r="P62" s="8"/>
      <c r="Q62" s="18"/>
    </row>
    <row r="63" spans="1:21" ht="13.8">
      <c r="A63" s="15">
        <f t="shared" si="0"/>
        <v>60</v>
      </c>
      <c r="B63" s="19"/>
      <c r="C63" s="8"/>
      <c r="D63" s="6"/>
      <c r="E63" s="16"/>
      <c r="F63" s="8"/>
      <c r="G63" s="24"/>
      <c r="H63" s="24"/>
      <c r="I63" s="25"/>
      <c r="J63" s="26"/>
      <c r="K63" s="8"/>
      <c r="L63" s="13"/>
      <c r="M63" s="13"/>
      <c r="N63" s="13"/>
      <c r="O63" s="8"/>
      <c r="P63" s="8"/>
      <c r="Q63" s="18"/>
    </row>
    <row r="66" spans="2:16" ht="15.6" customHeight="1">
      <c r="G66" t="s">
        <v>52</v>
      </c>
      <c r="I66" t="s">
        <v>30</v>
      </c>
      <c r="L66">
        <v>400</v>
      </c>
      <c r="M66">
        <f>N64*I66</f>
        <v>0</v>
      </c>
      <c r="P66" t="s">
        <v>28</v>
      </c>
    </row>
    <row r="67" spans="2:16">
      <c r="G67" t="s">
        <v>51</v>
      </c>
      <c r="I67" t="s">
        <v>50</v>
      </c>
    </row>
    <row r="68" spans="2:16">
      <c r="G68" t="s">
        <v>54</v>
      </c>
    </row>
    <row r="70" spans="2:16">
      <c r="B70" t="s">
        <v>55</v>
      </c>
      <c r="E70" t="s">
        <v>56</v>
      </c>
    </row>
    <row r="71" spans="2:16">
      <c r="E71" t="s">
        <v>57</v>
      </c>
    </row>
    <row r="72" spans="2:16">
      <c r="E72" t="s">
        <v>58</v>
      </c>
    </row>
  </sheetData>
  <mergeCells count="15">
    <mergeCell ref="M1:M2"/>
    <mergeCell ref="P1:P2"/>
    <mergeCell ref="Q1:Q2"/>
    <mergeCell ref="G1:G2"/>
    <mergeCell ref="H1:H2"/>
    <mergeCell ref="I1:I2"/>
    <mergeCell ref="J1:J2"/>
    <mergeCell ref="K1:K2"/>
    <mergeCell ref="L1:L2"/>
    <mergeCell ref="F1:F2"/>
    <mergeCell ref="A1:A2"/>
    <mergeCell ref="B1:B2"/>
    <mergeCell ref="C1:C2"/>
    <mergeCell ref="D1:D2"/>
    <mergeCell ref="E1:E2"/>
  </mergeCells>
  <pageMargins left="0.7" right="0.7" top="0.78740157499999996" bottom="0.78740157499999996" header="0.3" footer="0.3"/>
</worksheet>
</file>

<file path=docMetadata/LabelInfo.xml><?xml version="1.0" encoding="utf-8"?>
<clbl:labelList xmlns:clbl="http://schemas.microsoft.com/office/2020/mipLabelMetadata">
  <clbl:label id="{0a9b9e15-83d2-4075-9282-a04e05c6580a}" enabled="1" method="Standard" siteId="{24139d14-c62c-4c47-8bdd-ce71ea1d50cf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Listy</vt:lpstr>
      </vt:variant>
      <vt:variant>
        <vt:i4>3</vt:i4>
      </vt:variant>
      <vt:variant>
        <vt:lpstr>Pojmenované oblasti</vt:lpstr>
      </vt:variant>
      <vt:variant>
        <vt:i4>47</vt:i4>
      </vt:variant>
    </vt:vector>
  </HeadingPairs>
  <TitlesOfParts>
    <vt:vector size="50" baseType="lpstr">
      <vt:lpstr>Titulni List</vt:lpstr>
      <vt:lpstr>Seznam</vt:lpstr>
      <vt:lpstr>List1</vt:lpstr>
      <vt:lpstr>'Titulni List'!_CAS4</vt:lpstr>
      <vt:lpstr>'Titulni List'!_DAT1</vt:lpstr>
      <vt:lpstr>'Titulni List'!_DAT2</vt:lpstr>
      <vt:lpstr>'Titulni List'!_DAT3</vt:lpstr>
      <vt:lpstr>'Titulni List'!_DAT4</vt:lpstr>
      <vt:lpstr>'Titulni List'!_DAT5</vt:lpstr>
      <vt:lpstr>'Titulni List'!_DAT6</vt:lpstr>
      <vt:lpstr>'Titulni List'!_NA4</vt:lpstr>
      <vt:lpstr>'Titulni List'!_POP1</vt:lpstr>
      <vt:lpstr>'Titulni List'!_POP2</vt:lpstr>
      <vt:lpstr>'Titulni List'!_POP3</vt:lpstr>
      <vt:lpstr>'Titulni List'!_POP4</vt:lpstr>
      <vt:lpstr>'Titulni List'!_POP5</vt:lpstr>
      <vt:lpstr>'Titulni List'!_POP6</vt:lpstr>
      <vt:lpstr>'Titulni List'!_REV1</vt:lpstr>
      <vt:lpstr>'Titulni List'!_REV2</vt:lpstr>
      <vt:lpstr>'Titulni List'!_REV3</vt:lpstr>
      <vt:lpstr>'Titulni List'!_REV4</vt:lpstr>
      <vt:lpstr>'Titulni List'!_REV5</vt:lpstr>
      <vt:lpstr>'Titulni List'!_REV6</vt:lpstr>
      <vt:lpstr>'Titulni List'!CDOK1</vt:lpstr>
      <vt:lpstr>'Titulni List'!CDOK2</vt:lpstr>
      <vt:lpstr>'Titulni List'!KONTROL1</vt:lpstr>
      <vt:lpstr>'Titulni List'!KONTROL2</vt:lpstr>
      <vt:lpstr>'Titulni List'!KONTROL3</vt:lpstr>
      <vt:lpstr>'Titulni List'!KONTROL4</vt:lpstr>
      <vt:lpstr>'Titulni List'!KONTROL5</vt:lpstr>
      <vt:lpstr>'Titulni List'!KONTROL6</vt:lpstr>
      <vt:lpstr>'Titulni List'!NAZEV</vt:lpstr>
      <vt:lpstr>Seznam!Názvy_tisku</vt:lpstr>
      <vt:lpstr>Seznam!Oblast_tisku</vt:lpstr>
      <vt:lpstr>'Titulni List'!Oblast_tisku</vt:lpstr>
      <vt:lpstr>'Titulni List'!PROJEKT</vt:lpstr>
      <vt:lpstr>'Titulni List'!REV</vt:lpstr>
      <vt:lpstr>'Titulni List'!SCHVALIL1</vt:lpstr>
      <vt:lpstr>'Titulni List'!SCHVALIL2</vt:lpstr>
      <vt:lpstr>'Titulni List'!SCHVALIL3</vt:lpstr>
      <vt:lpstr>'Titulni List'!SCHVALIL4</vt:lpstr>
      <vt:lpstr>'Titulni List'!SCHVALIL5</vt:lpstr>
      <vt:lpstr>'Titulni List'!SCHVALIL6</vt:lpstr>
      <vt:lpstr>'Titulni List'!ZAKAZNIK</vt:lpstr>
      <vt:lpstr>'Titulni List'!ZPRAC1</vt:lpstr>
      <vt:lpstr>'Titulni List'!ZPRAC2</vt:lpstr>
      <vt:lpstr>'Titulni List'!ZPRAC3</vt:lpstr>
      <vt:lpstr>'Titulni List'!ZPRAC4</vt:lpstr>
      <vt:lpstr>'Titulni List'!ZPRAC5</vt:lpstr>
      <vt:lpstr>'Titulni List'!ZPRAC6</vt:lpstr>
    </vt:vector>
  </TitlesOfParts>
  <Company>Tractebel Engineering a.s.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Burda Jaroslav</dc:creator>
  <cp:lastModifiedBy>CSATO Martin (TRACTEBEL - CZECH REPUBLIC)</cp:lastModifiedBy>
  <cp:lastPrinted>2026-06-29T23:24:56Z</cp:lastPrinted>
  <dcterms:created xsi:type="dcterms:W3CDTF">2004-06-21T11:33:13Z</dcterms:created>
  <dcterms:modified xsi:type="dcterms:W3CDTF">2026-06-29T23:25:28Z</dcterms:modified>
</cp:coreProperties>
</file>